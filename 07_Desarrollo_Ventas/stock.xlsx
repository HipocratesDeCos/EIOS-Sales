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2" sheetId="1" r:id="rId4"/>
  </sheets>
  <definedNames>
    <definedName hidden="1" localSheetId="0" name="_xlnm._FilterDatabase">'P02'!$A$1:$AD$1398</definedName>
  </definedNames>
  <calcPr/>
  <extLst>
    <ext uri="GoogleSheetsCustomDataVersion2">
      <go:sheetsCustomData xmlns:go="http://customooxmlschemas.google.com/" r:id="rId5" roundtripDataChecksum="+SmmTbsyTx4hI09p07PsbiK7E2sCGwH0RCxJYGMd/9k="/>
    </ext>
  </extLst>
</workbook>
</file>

<file path=xl/sharedStrings.xml><?xml version="1.0" encoding="utf-8"?>
<sst xmlns="http://schemas.openxmlformats.org/spreadsheetml/2006/main" count="2653" uniqueCount="2653">
  <si>
    <t>sku</t>
  </si>
  <si>
    <t>descripcion</t>
  </si>
  <si>
    <t>stock actual</t>
  </si>
  <si>
    <t>stock_comprometido</t>
  </si>
  <si>
    <t>pedidos_pendientes</t>
  </si>
  <si>
    <t>compras_en_transito</t>
  </si>
  <si>
    <t>consumo_30_dias</t>
  </si>
  <si>
    <t>consumo_60_dias</t>
  </si>
  <si>
    <t>consumo_90_dias</t>
  </si>
  <si>
    <t>consumo_anual</t>
  </si>
  <si>
    <t>demanda</t>
  </si>
  <si>
    <t>demanda_historica</t>
  </si>
  <si>
    <t>demanda_prevista</t>
  </si>
  <si>
    <t>rotacion</t>
  </si>
  <si>
    <t>cobertura</t>
  </si>
  <si>
    <t>plazo_entrega</t>
  </si>
  <si>
    <t>alerta</t>
  </si>
  <si>
    <t>fecha_prevista_recepcion</t>
  </si>
  <si>
    <t>cantidad_propuesta</t>
  </si>
  <si>
    <t>fecha_evaluacion</t>
  </si>
  <si>
    <t xml:space="preserve">3XTOR-0030 </t>
  </si>
  <si>
    <t>Gasolinator Oil Extractor MONKEY</t>
  </si>
  <si>
    <t xml:space="preserve">3XTOR-052  </t>
  </si>
  <si>
    <t>Lavadora Bubblextractor Grande</t>
  </si>
  <si>
    <t xml:space="preserve">ADHH-01012 </t>
  </si>
  <si>
    <t>Advanced Hidro Final Solution 1L</t>
  </si>
  <si>
    <t xml:space="preserve">ADHH-05003 </t>
  </si>
  <si>
    <t>Advanced Hidro Bloom 5L</t>
  </si>
  <si>
    <t xml:space="preserve">ADHH-05005 </t>
  </si>
  <si>
    <t>Advanced Hidro Final Solution 5L</t>
  </si>
  <si>
    <t xml:space="preserve">ADS-05001  </t>
  </si>
  <si>
    <t>Slurricane 5 fem</t>
  </si>
  <si>
    <t xml:space="preserve">ADV-000403 </t>
  </si>
  <si>
    <t>Advanced N Rhino Skin 10L</t>
  </si>
  <si>
    <t xml:space="preserve">ADV-000504 </t>
  </si>
  <si>
    <t>Advanced N Sensi Bloom A 5L</t>
  </si>
  <si>
    <t xml:space="preserve">ADV-000505 </t>
  </si>
  <si>
    <t>Advanced N Sensi Bloom B 5L</t>
  </si>
  <si>
    <t xml:space="preserve">ADV-005001 </t>
  </si>
  <si>
    <t>Advanced N Piranha 500ml</t>
  </si>
  <si>
    <t xml:space="preserve">ADV-005002 </t>
  </si>
  <si>
    <t>Advanced N Tarantula 500ml</t>
  </si>
  <si>
    <t xml:space="preserve">ADV-005006 </t>
  </si>
  <si>
    <t>Advanced N Overdrive 500ml</t>
  </si>
  <si>
    <t xml:space="preserve">ADV-010003 </t>
  </si>
  <si>
    <t>Advanced N B-52 1L</t>
  </si>
  <si>
    <t xml:space="preserve">ADV-010006 </t>
  </si>
  <si>
    <t>Advanced N Carboload 1L</t>
  </si>
  <si>
    <t xml:space="preserve">ADV-010007 </t>
  </si>
  <si>
    <t>Advanced N Overdrive 1L</t>
  </si>
  <si>
    <t xml:space="preserve">ADV-010012 </t>
  </si>
  <si>
    <t>Advanced N Sensizym 1L</t>
  </si>
  <si>
    <t xml:space="preserve">ADV-010014 </t>
  </si>
  <si>
    <t>Advanced N Big Bud 1L</t>
  </si>
  <si>
    <t xml:space="preserve">ADV-010015 </t>
  </si>
  <si>
    <t>Advanced N Bud Candy 1L</t>
  </si>
  <si>
    <t xml:space="preserve">ADV-010017 </t>
  </si>
  <si>
    <t>Advanced N Iguana Juice Bloom 1L</t>
  </si>
  <si>
    <t xml:space="preserve">ADV-010021 </t>
  </si>
  <si>
    <t>Advanced N Rhino Skin 1L</t>
  </si>
  <si>
    <t xml:space="preserve">ADV-010022 </t>
  </si>
  <si>
    <t>Advanced N Sensi Bloom B 1L</t>
  </si>
  <si>
    <t xml:space="preserve">ADV-010029 </t>
  </si>
  <si>
    <t>Advanced N Nirvana 1L</t>
  </si>
  <si>
    <t xml:space="preserve">ADV-010042 </t>
  </si>
  <si>
    <t>Advanced N Connoisseur A+B Grow 1L</t>
  </si>
  <si>
    <t xml:space="preserve">ADV-010044 </t>
  </si>
  <si>
    <t>Advanced N Tarantula 1L</t>
  </si>
  <si>
    <t xml:space="preserve">ADV-010045 </t>
  </si>
  <si>
    <t>Advanced N Piranha 1L</t>
  </si>
  <si>
    <t xml:space="preserve">ADV-010046 </t>
  </si>
  <si>
    <t>Advanced N Bud Factor X 1L</t>
  </si>
  <si>
    <t xml:space="preserve">ADV-010049 </t>
  </si>
  <si>
    <t>Advanced N Bud Ignitor 1L</t>
  </si>
  <si>
    <t xml:space="preserve">ADV-010052 </t>
  </si>
  <si>
    <t>Advanced N Big Bud Coco 5L</t>
  </si>
  <si>
    <t xml:space="preserve">ADV-040006 </t>
  </si>
  <si>
    <t>Advanced N Carboload 5L</t>
  </si>
  <si>
    <t xml:space="preserve">ADV-040019 </t>
  </si>
  <si>
    <t>Advanced N B-52 5L</t>
  </si>
  <si>
    <t xml:space="preserve">ADV-040020 </t>
  </si>
  <si>
    <t>Advanced N Sensi Grow A 1L</t>
  </si>
  <si>
    <t xml:space="preserve">ADV-040021 </t>
  </si>
  <si>
    <t>Advanced N Sensi Grow B 1L</t>
  </si>
  <si>
    <t xml:space="preserve">ADV-040023 </t>
  </si>
  <si>
    <t>Advanced N Sensi Bloom A 1L</t>
  </si>
  <si>
    <t xml:space="preserve">ADV-050004 </t>
  </si>
  <si>
    <t>Advanced N Big bud 5L</t>
  </si>
  <si>
    <t xml:space="preserve">ADV-050013 </t>
  </si>
  <si>
    <t>Advanced N Rhino Skin 5L</t>
  </si>
  <si>
    <t xml:space="preserve">ADV-050024 </t>
  </si>
  <si>
    <t>Advanced N Overdrive 5L</t>
  </si>
  <si>
    <t xml:space="preserve">ADV-100006 </t>
  </si>
  <si>
    <t>Advanced N Iguana Juice Bloom 10L</t>
  </si>
  <si>
    <t xml:space="preserve">ADV-100009 </t>
  </si>
  <si>
    <t>Advanced N Carboload 10L</t>
  </si>
  <si>
    <t xml:space="preserve">ADV-100010 </t>
  </si>
  <si>
    <t>Advanced N Bud Candy 10L</t>
  </si>
  <si>
    <t xml:space="preserve">ADV-100011 </t>
  </si>
  <si>
    <t>Advanced N Big Bud 10L</t>
  </si>
  <si>
    <t xml:space="preserve">ADV-100018 </t>
  </si>
  <si>
    <t>Advanced N Bud Candy 5L</t>
  </si>
  <si>
    <t xml:space="preserve">ADV-100022 </t>
  </si>
  <si>
    <t>Advanced N Big Bud 4L</t>
  </si>
  <si>
    <t xml:space="preserve">ADV-10021  </t>
  </si>
  <si>
    <t>Advanced N Sensizym 10L</t>
  </si>
  <si>
    <t xml:space="preserve">ADV-10022  </t>
  </si>
  <si>
    <t>Advanced N Revive 5L</t>
  </si>
  <si>
    <t xml:space="preserve">ADV-250001 </t>
  </si>
  <si>
    <t xml:space="preserve">ADV-250002 </t>
  </si>
  <si>
    <t xml:space="preserve">ADV-250003 </t>
  </si>
  <si>
    <t xml:space="preserve">ADV-250004 </t>
  </si>
  <si>
    <t xml:space="preserve">ADV-250005 </t>
  </si>
  <si>
    <t xml:space="preserve">AMB-00020  </t>
  </si>
  <si>
    <t>Ona Breeze Sistema distribución de gel</t>
  </si>
  <si>
    <t xml:space="preserve">AMB-01001  </t>
  </si>
  <si>
    <t>Ona Gel 1L (Fresh Linen)</t>
  </si>
  <si>
    <t xml:space="preserve">AMB-01002  </t>
  </si>
  <si>
    <t>Ona Gel 1L (Pro)</t>
  </si>
  <si>
    <t xml:space="preserve">AMB-01003  </t>
  </si>
  <si>
    <t>Ona Gel 1L (Polar Crystal)</t>
  </si>
  <si>
    <t xml:space="preserve">AMB-01030  </t>
  </si>
  <si>
    <t>Zerum Gel 900gr (Neutro)</t>
  </si>
  <si>
    <t xml:space="preserve">AMB-01031  </t>
  </si>
  <si>
    <t>Zerum Gel 900gr (Fresa)</t>
  </si>
  <si>
    <t xml:space="preserve">AMB-01033  </t>
  </si>
  <si>
    <t>Zerum Gel 900gr (Menta)</t>
  </si>
  <si>
    <t xml:space="preserve">AMB-01035  </t>
  </si>
  <si>
    <t>Zerum Liquid 1L (Fresa)</t>
  </si>
  <si>
    <t xml:space="preserve">AMB-01036  </t>
  </si>
  <si>
    <t>Zerum Liquid 1L (Neutro)</t>
  </si>
  <si>
    <t xml:space="preserve">AMB-03030  </t>
  </si>
  <si>
    <t>Zerum Gel 3,3kg (Neutro)</t>
  </si>
  <si>
    <t xml:space="preserve">AMB-03031  </t>
  </si>
  <si>
    <t>Zerum Gel 3,3kg (Fresa)</t>
  </si>
  <si>
    <t xml:space="preserve">AMB-03033  </t>
  </si>
  <si>
    <t>Zerum Gel 3,3kg (Menta)</t>
  </si>
  <si>
    <t xml:space="preserve">AMB-04001  </t>
  </si>
  <si>
    <t>Ona Gel 4L (Fresh Linen)</t>
  </si>
  <si>
    <t xml:space="preserve">AMB-04002  </t>
  </si>
  <si>
    <t>Ona Gel 4L (Pro)</t>
  </si>
  <si>
    <t xml:space="preserve">AMB-04003  </t>
  </si>
  <si>
    <t>Ona Gel 4L (Polar Crystal)</t>
  </si>
  <si>
    <t xml:space="preserve">AMB-04004  </t>
  </si>
  <si>
    <t>Ona Gel 4L (Apple)</t>
  </si>
  <si>
    <t xml:space="preserve">AMB-07001  </t>
  </si>
  <si>
    <t>Sinolor Base 100ml</t>
  </si>
  <si>
    <t xml:space="preserve">AMB-07002  </t>
  </si>
  <si>
    <t>Sinolor Base 500ml</t>
  </si>
  <si>
    <t xml:space="preserve">AMB-07026  </t>
  </si>
  <si>
    <t>Sinolor Laurel 1L</t>
  </si>
  <si>
    <t xml:space="preserve">AMB-07035  </t>
  </si>
  <si>
    <t>Sinolor Frutal 1L</t>
  </si>
  <si>
    <t xml:space="preserve">AMB-07094  </t>
  </si>
  <si>
    <t>Sinolor Strong 1L</t>
  </si>
  <si>
    <t>AMB-07094 A</t>
  </si>
  <si>
    <t xml:space="preserve">AMB-12030  </t>
  </si>
  <si>
    <t>Zerum Gel 12,5kg (Neutro)</t>
  </si>
  <si>
    <t xml:space="preserve">AMB-12031  </t>
  </si>
  <si>
    <t>Zerum Gel 12,5kg (Fresa)</t>
  </si>
  <si>
    <t xml:space="preserve">AMB-12034  </t>
  </si>
  <si>
    <t>Zerum Extrem 100ml Limpio</t>
  </si>
  <si>
    <t xml:space="preserve">AMB-70010  </t>
  </si>
  <si>
    <t>Odor Connect - RECAMBIO 100ml</t>
  </si>
  <si>
    <t xml:space="preserve">AMB-70012  </t>
  </si>
  <si>
    <t xml:space="preserve">AMB-70013  </t>
  </si>
  <si>
    <t xml:space="preserve">APT-0006   </t>
  </si>
  <si>
    <t>Aptus K-Boost 150 ml</t>
  </si>
  <si>
    <t xml:space="preserve">APT-00501  </t>
  </si>
  <si>
    <t>Aptus Regulator 500ml</t>
  </si>
  <si>
    <t xml:space="preserve">APT-01001  </t>
  </si>
  <si>
    <t>Aptus Regulator 1L</t>
  </si>
  <si>
    <t xml:space="preserve">APT-01002  </t>
  </si>
  <si>
    <t>Aptus P-Boost 1L</t>
  </si>
  <si>
    <t xml:space="preserve">APT-01003  </t>
  </si>
  <si>
    <t>Aptus TopBooster 1L</t>
  </si>
  <si>
    <t xml:space="preserve">APT-01004  </t>
  </si>
  <si>
    <t>Aptus Enzym+ 1L</t>
  </si>
  <si>
    <t xml:space="preserve">APT-01005  </t>
  </si>
  <si>
    <t>Aptus Startbooster 1L</t>
  </si>
  <si>
    <t xml:space="preserve">APT-01007  </t>
  </si>
  <si>
    <t>Aptus Super PK 1L</t>
  </si>
  <si>
    <t xml:space="preserve">APT-01008  </t>
  </si>
  <si>
    <t>Aptus Fulvic - Blast 1L</t>
  </si>
  <si>
    <t xml:space="preserve">APT-01009  </t>
  </si>
  <si>
    <t>Aptus All In One Liquid 1L</t>
  </si>
  <si>
    <t xml:space="preserve">APT-01010  </t>
  </si>
  <si>
    <t>Aptus CaMg-Boost 1L</t>
  </si>
  <si>
    <t xml:space="preserve">APT-01012  </t>
  </si>
  <si>
    <t>Aptus Fungone 1L</t>
  </si>
  <si>
    <t xml:space="preserve">APT-01051  </t>
  </si>
  <si>
    <t xml:space="preserve">APT-02501  </t>
  </si>
  <si>
    <t>Aptus Regulator 250ml</t>
  </si>
  <si>
    <t xml:space="preserve">APT-05001  </t>
  </si>
  <si>
    <t>Aptus All in One 5L</t>
  </si>
  <si>
    <t xml:space="preserve">APT-05002  </t>
  </si>
  <si>
    <t>Aptus K-Boost 5L</t>
  </si>
  <si>
    <t xml:space="preserve">APT-05003  </t>
  </si>
  <si>
    <t>Aptus Regulator 5L</t>
  </si>
  <si>
    <t xml:space="preserve">APT-05004  </t>
  </si>
  <si>
    <t>Aptus CaMg-Boost 5L</t>
  </si>
  <si>
    <t xml:space="preserve">APT-05005  </t>
  </si>
  <si>
    <t>Aptus P-Boost 5L</t>
  </si>
  <si>
    <t xml:space="preserve">APT-05006  </t>
  </si>
  <si>
    <t>Aptus TopBooster 5L</t>
  </si>
  <si>
    <t xml:space="preserve">APT-05007  </t>
  </si>
  <si>
    <t>Aptus N-Boost 5L</t>
  </si>
  <si>
    <t xml:space="preserve">APT-05008  </t>
  </si>
  <si>
    <t>Aptus Startbooster 5L</t>
  </si>
  <si>
    <t xml:space="preserve">APT-05009  </t>
  </si>
  <si>
    <t>Aptus Enzym + 5L</t>
  </si>
  <si>
    <t xml:space="preserve">APT-05010  </t>
  </si>
  <si>
    <t>Aptus Super PK 5L</t>
  </si>
  <si>
    <t xml:space="preserve">APT-20004  </t>
  </si>
  <si>
    <t>Aptus All in One Liquid 20L</t>
  </si>
  <si>
    <t xml:space="preserve">APT-20006  </t>
  </si>
  <si>
    <t>Aptus Breakout Powder 1kg</t>
  </si>
  <si>
    <t xml:space="preserve">AR-404008  </t>
  </si>
  <si>
    <t>Armario Hydro Shoot 300x150x200cm</t>
  </si>
  <si>
    <t xml:space="preserve">AR-404014  </t>
  </si>
  <si>
    <t>Armario Hydro Shoot 150 REV2.0 (150x150x200cm)</t>
  </si>
  <si>
    <t xml:space="preserve">ARPT-001   </t>
  </si>
  <si>
    <t>Armario Pure Tent Vers 2.0 60x60x160cm</t>
  </si>
  <si>
    <t xml:space="preserve">ARPT-002   </t>
  </si>
  <si>
    <t>Armario Pure Tent  Vers 2.0 80x80x180cm</t>
  </si>
  <si>
    <t xml:space="preserve">ARPT-004   </t>
  </si>
  <si>
    <t>Armario Pure Tent 120x120x200cm</t>
  </si>
  <si>
    <t xml:space="preserve">ARPT-005   </t>
  </si>
  <si>
    <t>Armario Pure Tent v 2.0 240x120x200cm</t>
  </si>
  <si>
    <t xml:space="preserve">ARPT-007   </t>
  </si>
  <si>
    <t xml:space="preserve">ATA-000001 </t>
  </si>
  <si>
    <t>Atami High Porosity Cocos 50L</t>
  </si>
  <si>
    <t xml:space="preserve">ATA-000003 </t>
  </si>
  <si>
    <t>Atami Janeco Light Mix 50L</t>
  </si>
  <si>
    <t xml:space="preserve">ATA-000005 </t>
  </si>
  <si>
    <t>Atami Coco Sustrat 50L</t>
  </si>
  <si>
    <t xml:space="preserve">ATA-000008 </t>
  </si>
  <si>
    <t>Atami Calmag 5L</t>
  </si>
  <si>
    <t xml:space="preserve">ATA-000009 </t>
  </si>
  <si>
    <t>Atami Calmag 1L</t>
  </si>
  <si>
    <t xml:space="preserve">ATA-000010 </t>
  </si>
  <si>
    <t xml:space="preserve">ATA-000500 </t>
  </si>
  <si>
    <t>Atami Silic Boost 500ML</t>
  </si>
  <si>
    <t xml:space="preserve">ATA-010000 </t>
  </si>
  <si>
    <t>Atami Silic Boost 1L</t>
  </si>
  <si>
    <t xml:space="preserve">ATA-010001 </t>
  </si>
  <si>
    <t>Atami Bloombastic 100ml</t>
  </si>
  <si>
    <t xml:space="preserve">ATA-010003 </t>
  </si>
  <si>
    <t>Atami Rootbastic 100ml</t>
  </si>
  <si>
    <t xml:space="preserve">ATA-032501 </t>
  </si>
  <si>
    <t>Atami Bloombastic 325ml</t>
  </si>
  <si>
    <t xml:space="preserve">ATA-032502 </t>
  </si>
  <si>
    <t xml:space="preserve">ATA-050012 </t>
  </si>
  <si>
    <t>Atami Rootbastic 500ml</t>
  </si>
  <si>
    <t xml:space="preserve">ATA-100015 </t>
  </si>
  <si>
    <t>Atami Estimulador de Raices 1L</t>
  </si>
  <si>
    <t xml:space="preserve">ATA-100016 </t>
  </si>
  <si>
    <t>Atami Pk 13-14 1L</t>
  </si>
  <si>
    <t xml:space="preserve">ATA-100017 </t>
  </si>
  <si>
    <t>Atami Atazyme 1L</t>
  </si>
  <si>
    <t xml:space="preserve">ATA-100020 </t>
  </si>
  <si>
    <t>Atami Estimulador Floración 1L</t>
  </si>
  <si>
    <t xml:space="preserve">ATA-100021 </t>
  </si>
  <si>
    <t>Atami Estimulador Coco Floración 1L</t>
  </si>
  <si>
    <t xml:space="preserve">ATA-100030 </t>
  </si>
  <si>
    <t>Atami Booster Tierra Universal 1L</t>
  </si>
  <si>
    <t xml:space="preserve">ATA-100031 </t>
  </si>
  <si>
    <t>Atami Bloombastic 1250ml</t>
  </si>
  <si>
    <t xml:space="preserve">ATA-100033 </t>
  </si>
  <si>
    <t>Atami Rootbastic 1250ml</t>
  </si>
  <si>
    <t xml:space="preserve">ATA-100034 </t>
  </si>
  <si>
    <t>Atami Blossom Builder 1L</t>
  </si>
  <si>
    <t xml:space="preserve">ATA-100035 </t>
  </si>
  <si>
    <t>Atami Root Fast 1L</t>
  </si>
  <si>
    <t xml:space="preserve">ATA-100042 </t>
  </si>
  <si>
    <t>Atami Alimento Hydro A 1L</t>
  </si>
  <si>
    <t xml:space="preserve">ATA-100043 </t>
  </si>
  <si>
    <t>Atami Alimento Hydro B 1L</t>
  </si>
  <si>
    <t>ATA-5000028</t>
  </si>
  <si>
    <t>Atami Estimulador Coco Floración 5L</t>
  </si>
  <si>
    <t xml:space="preserve">ATA-500003 </t>
  </si>
  <si>
    <t>Atami Ata Organics Flavor 5L</t>
  </si>
  <si>
    <t xml:space="preserve">ATA-500005 </t>
  </si>
  <si>
    <t>Atami Ata Terra Max 5L</t>
  </si>
  <si>
    <t xml:space="preserve">ATA-500006 </t>
  </si>
  <si>
    <t>Atami Atazyme 5L</t>
  </si>
  <si>
    <t xml:space="preserve">ATA-500007 </t>
  </si>
  <si>
    <t>Atami Pk 13-14 5L</t>
  </si>
  <si>
    <t xml:space="preserve">ATA-500009 </t>
  </si>
  <si>
    <t>Atami Alimento Tierra A 5L</t>
  </si>
  <si>
    <t xml:space="preserve">ATA-500010 </t>
  </si>
  <si>
    <t>Atami Alimento Tierra B 5L</t>
  </si>
  <si>
    <t xml:space="preserve">ATA-500013 </t>
  </si>
  <si>
    <t>Atami Alimento Coco A 5L</t>
  </si>
  <si>
    <t xml:space="preserve">ATA-500014 </t>
  </si>
  <si>
    <t>Atami Alimento Coco B 5L</t>
  </si>
  <si>
    <t xml:space="preserve">ATA-500015 </t>
  </si>
  <si>
    <t>Atami Estimulador Floración 5L</t>
  </si>
  <si>
    <t xml:space="preserve">ATA-500018 </t>
  </si>
  <si>
    <t>Atami Estimulador de Raices 5L</t>
  </si>
  <si>
    <t xml:space="preserve">ATA-500019 </t>
  </si>
  <si>
    <t>Atami Bloombastic 5,5L</t>
  </si>
  <si>
    <t xml:space="preserve">ATA-500021 </t>
  </si>
  <si>
    <t>Atami Root Fast 5L</t>
  </si>
  <si>
    <t xml:space="preserve">ATA-500023 </t>
  </si>
  <si>
    <t>Atami Blossom Builder 5L</t>
  </si>
  <si>
    <t xml:space="preserve">ATA-500025 </t>
  </si>
  <si>
    <t>Atami Booster Tierra Universal 5L</t>
  </si>
  <si>
    <t xml:space="preserve">ATA-500027 </t>
  </si>
  <si>
    <t>Atami Booster Coco Universal 5L</t>
  </si>
  <si>
    <t xml:space="preserve">ATA-800000 </t>
  </si>
  <si>
    <t>Atami Alimento Tierra A 10L</t>
  </si>
  <si>
    <t xml:space="preserve">ATA-800001 </t>
  </si>
  <si>
    <t>Atami Alimento Tierra B 10L</t>
  </si>
  <si>
    <t xml:space="preserve">ATA-800004 </t>
  </si>
  <si>
    <t>Atami Atazyme 10L</t>
  </si>
  <si>
    <t xml:space="preserve">ATA-800005 </t>
  </si>
  <si>
    <t>Atami PK 13-14 10L</t>
  </si>
  <si>
    <t xml:space="preserve">ATA-800013 </t>
  </si>
  <si>
    <t>Atami Alimento Coco A 10L</t>
  </si>
  <si>
    <t xml:space="preserve">ATA-800014 </t>
  </si>
  <si>
    <t>Atami Alimento Coco B 10L</t>
  </si>
  <si>
    <t xml:space="preserve">ATA-800017 </t>
  </si>
  <si>
    <t>Atami One Component Tierra 10L</t>
  </si>
  <si>
    <t xml:space="preserve">ATA-900014 </t>
  </si>
  <si>
    <t>Atami Rokzbastic 1250ml</t>
  </si>
  <si>
    <t xml:space="preserve">ATA-900015 </t>
  </si>
  <si>
    <t xml:space="preserve">ATA-900016 </t>
  </si>
  <si>
    <t xml:space="preserve">ATH-0001   </t>
  </si>
  <si>
    <t>Athena Balance 0,94L</t>
  </si>
  <si>
    <t xml:space="preserve">ATH-0002   </t>
  </si>
  <si>
    <t>Athena Cleanse 0,94L</t>
  </si>
  <si>
    <t xml:space="preserve">ATH-0003   </t>
  </si>
  <si>
    <t>Athena CamG 3,78L</t>
  </si>
  <si>
    <t xml:space="preserve">ATH-0004   </t>
  </si>
  <si>
    <t>Athena Grow A 3,78L</t>
  </si>
  <si>
    <t xml:space="preserve">ATH-0005   </t>
  </si>
  <si>
    <t>Athena Grow B 3,78L</t>
  </si>
  <si>
    <t xml:space="preserve">ATH-0006   </t>
  </si>
  <si>
    <t>Athena Bloom A 3,78L</t>
  </si>
  <si>
    <t xml:space="preserve">ATH-0007   </t>
  </si>
  <si>
    <t>Athena Bloom B 3,78L</t>
  </si>
  <si>
    <t xml:space="preserve">ATH-0008   </t>
  </si>
  <si>
    <t>Athena PK 3,78L</t>
  </si>
  <si>
    <t xml:space="preserve">ATH-0009   </t>
  </si>
  <si>
    <t>Athena Stack 0,94L</t>
  </si>
  <si>
    <t xml:space="preserve">ATH-0010   </t>
  </si>
  <si>
    <t>Athena Cleanse 18.92L</t>
  </si>
  <si>
    <t xml:space="preserve">ATH-0011   </t>
  </si>
  <si>
    <t>Athena Balance 3.78L</t>
  </si>
  <si>
    <t xml:space="preserve">ATH-0013   </t>
  </si>
  <si>
    <t>Athena IPW 3.78L</t>
  </si>
  <si>
    <t xml:space="preserve">ATH-0015   </t>
  </si>
  <si>
    <t>Athena CamG 0.94L</t>
  </si>
  <si>
    <t xml:space="preserve">ATH-0016   </t>
  </si>
  <si>
    <t>Athena CamG 18.92L</t>
  </si>
  <si>
    <t xml:space="preserve">ATH-0017   </t>
  </si>
  <si>
    <t>Athena Grow A 18.92L</t>
  </si>
  <si>
    <t xml:space="preserve">ATH-0018   </t>
  </si>
  <si>
    <t>Athena Bloom A 18,92L</t>
  </si>
  <si>
    <t xml:space="preserve">ATH-0019   </t>
  </si>
  <si>
    <t>Athena PK 0.94L</t>
  </si>
  <si>
    <t xml:space="preserve">ATH-0020   </t>
  </si>
  <si>
    <t>Athena PK 18,92L</t>
  </si>
  <si>
    <t xml:space="preserve">ATH-0021   </t>
  </si>
  <si>
    <t>Athena Grow B 18,92L</t>
  </si>
  <si>
    <t xml:space="preserve">ATH-0022   </t>
  </si>
  <si>
    <t>Athena Bloom B 18,92</t>
  </si>
  <si>
    <t xml:space="preserve">ATH-0023   </t>
  </si>
  <si>
    <t>Athena Pro Bloom 11,36kg BOX</t>
  </si>
  <si>
    <t xml:space="preserve">ATH-0024   </t>
  </si>
  <si>
    <t>Athena Pro Bloom 4,53 Kg</t>
  </si>
  <si>
    <t xml:space="preserve">ATH-0025   </t>
  </si>
  <si>
    <t>Athena Pro Core 4,53Kg Box</t>
  </si>
  <si>
    <t xml:space="preserve">ATH-0026   </t>
  </si>
  <si>
    <t>Athena Pro Core 11,36Kg Bag</t>
  </si>
  <si>
    <t xml:space="preserve">ATH-0027   </t>
  </si>
  <si>
    <t>Athena Pro Grow 4,53 Kg</t>
  </si>
  <si>
    <t xml:space="preserve">ATH-0028   </t>
  </si>
  <si>
    <t>Athena Pro Grow 11,36kg BOX</t>
  </si>
  <si>
    <t xml:space="preserve">ATH-0029   </t>
  </si>
  <si>
    <t>Athena Cleanse 3,78 L</t>
  </si>
  <si>
    <t xml:space="preserve">ATH-0030   </t>
  </si>
  <si>
    <t>Athena Pro bloom 11.36Kg Bag</t>
  </si>
  <si>
    <t xml:space="preserve">ATH-0031   </t>
  </si>
  <si>
    <t>Athena Balance 18.92L</t>
  </si>
  <si>
    <t xml:space="preserve">ATH-0032   </t>
  </si>
  <si>
    <t>Athena Fade 3.78L</t>
  </si>
  <si>
    <t xml:space="preserve">ATH-0033   </t>
  </si>
  <si>
    <t>Athena Fade 18.92L</t>
  </si>
  <si>
    <t xml:space="preserve">ATH-0034   </t>
  </si>
  <si>
    <t>Athena Pro Grow 11,36kg Bag</t>
  </si>
  <si>
    <t xml:space="preserve">ATH-0035   </t>
  </si>
  <si>
    <t>Athena Pro Core 11.36kg Box</t>
  </si>
  <si>
    <t xml:space="preserve">ATH-0036   </t>
  </si>
  <si>
    <t>Athena Pro Balance 4.53L Box</t>
  </si>
  <si>
    <t xml:space="preserve">ATH-0037   </t>
  </si>
  <si>
    <t>Athena Pro-Balance 11,36kg</t>
  </si>
  <si>
    <t xml:space="preserve">ATH-0038   </t>
  </si>
  <si>
    <t>Athena IPW 0.94L</t>
  </si>
  <si>
    <t xml:space="preserve">ATH-0039   </t>
  </si>
  <si>
    <t>Athena Fade 0.94L</t>
  </si>
  <si>
    <t xml:space="preserve">ATH-0040   </t>
  </si>
  <si>
    <t>Athena Grow A 0.94L</t>
  </si>
  <si>
    <t xml:space="preserve">ATH-0041   </t>
  </si>
  <si>
    <t>Athena Grow B 0.94L</t>
  </si>
  <si>
    <t xml:space="preserve">ATH-0042   </t>
  </si>
  <si>
    <t>Athena Bloom A 0.94L</t>
  </si>
  <si>
    <t xml:space="preserve">ATH-0043   </t>
  </si>
  <si>
    <t>Athena Bloom B 0.94L</t>
  </si>
  <si>
    <t xml:space="preserve">BAL-0002   </t>
  </si>
  <si>
    <t>Pesa de Calibracion 100gr</t>
  </si>
  <si>
    <t xml:space="preserve">BAL-0010   </t>
  </si>
  <si>
    <t>Set de pesas Calibracion</t>
  </si>
  <si>
    <t xml:space="preserve">BAL-0011   </t>
  </si>
  <si>
    <t>Balanza TANITA 1479J2 (200gr x 0.01)</t>
  </si>
  <si>
    <t xml:space="preserve">BAN-00010  </t>
  </si>
  <si>
    <t>Bandeja 104 Alveolos Sabika Klonmax (6 unidades)</t>
  </si>
  <si>
    <t xml:space="preserve">BAN-00100  </t>
  </si>
  <si>
    <t>Bandeja Portadora 60x40x10</t>
  </si>
  <si>
    <t xml:space="preserve">BAN-00102  </t>
  </si>
  <si>
    <t>Bandeja 063x110 gris - SIN AGUJERO</t>
  </si>
  <si>
    <t xml:space="preserve">BAN-00104  </t>
  </si>
  <si>
    <t>Bandeja 100x200 gris</t>
  </si>
  <si>
    <t xml:space="preserve">BAN-00104B </t>
  </si>
  <si>
    <t>Soporte bandeja gris 100x200</t>
  </si>
  <si>
    <t xml:space="preserve">BAN-00201  </t>
  </si>
  <si>
    <t>Bandeja negra Cuadrada 100x100 inundacion</t>
  </si>
  <si>
    <t xml:space="preserve">BAN-00207  </t>
  </si>
  <si>
    <t>Bandeja negra 110x55cm (baja) Giant Gard</t>
  </si>
  <si>
    <t xml:space="preserve">BAN-00208  </t>
  </si>
  <si>
    <t>Bandeja negra 100x55cm (alta) Titan Gard</t>
  </si>
  <si>
    <t xml:space="preserve">BAN-00210  </t>
  </si>
  <si>
    <t>Bandeja negra 117x40cm Jumbo Garden</t>
  </si>
  <si>
    <t xml:space="preserve">BAN-00223  </t>
  </si>
  <si>
    <t>Bandeja negra cuadrada 120x120cm Inundacion</t>
  </si>
  <si>
    <t xml:space="preserve">BAN-00401  </t>
  </si>
  <si>
    <t>Bandeja 48 alveolos troquelable</t>
  </si>
  <si>
    <t xml:space="preserve">BAN-00420  </t>
  </si>
  <si>
    <t>Bandeja Monkey Klone 104 alveolos</t>
  </si>
  <si>
    <t xml:space="preserve">BAN-00421  </t>
  </si>
  <si>
    <t>Bandeja Monkey Klone 150 alveolos</t>
  </si>
  <si>
    <t xml:space="preserve">BAN-00425  </t>
  </si>
  <si>
    <t>Bandeja Root Riot 24 alveolos</t>
  </si>
  <si>
    <t xml:space="preserve">BAN-00426  </t>
  </si>
  <si>
    <t>Packs cajas cart—n 15u fardo</t>
  </si>
  <si>
    <t xml:space="preserve">BAN-00430  </t>
  </si>
  <si>
    <t xml:space="preserve">BAN-00501A </t>
  </si>
  <si>
    <t>Bandeja Roll Tray- Recambio Rivet 5mm</t>
  </si>
  <si>
    <t xml:space="preserve">BAN-00512  </t>
  </si>
  <si>
    <t xml:space="preserve">BAN-09964  </t>
  </si>
  <si>
    <t xml:space="preserve">BAR-01013  </t>
  </si>
  <si>
    <t xml:space="preserve">BAR-01049  </t>
  </si>
  <si>
    <t>Runtz Muffin 1 fem</t>
  </si>
  <si>
    <t xml:space="preserve">BAR-01161  </t>
  </si>
  <si>
    <t>Mimosa x Orange Punch 1 fem</t>
  </si>
  <si>
    <t xml:space="preserve">BAR-01171  </t>
  </si>
  <si>
    <t xml:space="preserve">BAR-03023  </t>
  </si>
  <si>
    <t>Gorilla Zkittlez 3 fem</t>
  </si>
  <si>
    <t xml:space="preserve">BAR-03024  </t>
  </si>
  <si>
    <t>Glookies 3 fem</t>
  </si>
  <si>
    <t xml:space="preserve">BAR-03161  </t>
  </si>
  <si>
    <t>Blue Sunset Sherbert 3 fem</t>
  </si>
  <si>
    <t xml:space="preserve">BAR-03162  </t>
  </si>
  <si>
    <t>Biscotti Mintz 3 fem</t>
  </si>
  <si>
    <t xml:space="preserve">BAR-03168  </t>
  </si>
  <si>
    <t>Gary Payton 3 fem</t>
  </si>
  <si>
    <t xml:space="preserve">BAR-05027  </t>
  </si>
  <si>
    <t>Critical kush 5 fem</t>
  </si>
  <si>
    <t xml:space="preserve">BAR-05047  </t>
  </si>
  <si>
    <t>Dos i Dos #33 5 fem</t>
  </si>
  <si>
    <t xml:space="preserve">BAR-05060  </t>
  </si>
  <si>
    <t>Dos si Dos 33 10 fem</t>
  </si>
  <si>
    <t xml:space="preserve">BAR-05150  </t>
  </si>
  <si>
    <t>Watermelon Zkittlez Auto 5 fem</t>
  </si>
  <si>
    <t xml:space="preserve">BAR-05168  </t>
  </si>
  <si>
    <t>Moby Dick 5 fem</t>
  </si>
  <si>
    <t xml:space="preserve">BAR-10025  </t>
  </si>
  <si>
    <t>Gorilla Zkittlez 10 fem</t>
  </si>
  <si>
    <t xml:space="preserve">BAR-10037  </t>
  </si>
  <si>
    <t>Orange Sherbert 10 fem</t>
  </si>
  <si>
    <t xml:space="preserve">BAR-10150  </t>
  </si>
  <si>
    <t>Watermelon Zkittlez Auto 10 fem</t>
  </si>
  <si>
    <t xml:space="preserve">BAR-10171  </t>
  </si>
  <si>
    <t>Triple Cheese 10 fem</t>
  </si>
  <si>
    <t xml:space="preserve">BB-001     </t>
  </si>
  <si>
    <t>Spidex 2000 Phytoseiulus Permisilis (araña roja)</t>
  </si>
  <si>
    <t xml:space="preserve">BC-00001   </t>
  </si>
  <si>
    <t>Bac Rootstimulator 60ml</t>
  </si>
  <si>
    <t xml:space="preserve">BC-00002   </t>
  </si>
  <si>
    <t>Bac Bloomstimulator 60ml</t>
  </si>
  <si>
    <t xml:space="preserve">BC-00101   </t>
  </si>
  <si>
    <t>Bac Foliar Spray 120ml</t>
  </si>
  <si>
    <t xml:space="preserve">BC-00103   </t>
  </si>
  <si>
    <t>Bac Bloomstimulator 120ml</t>
  </si>
  <si>
    <t xml:space="preserve">BC-00105   </t>
  </si>
  <si>
    <t>Bac Pro-active 120ml</t>
  </si>
  <si>
    <t xml:space="preserve">BC-00108   </t>
  </si>
  <si>
    <t>Bac Auto Stimulator 120ml</t>
  </si>
  <si>
    <t xml:space="preserve">BC-00111   </t>
  </si>
  <si>
    <t>Bac Rootstimulator 1L</t>
  </si>
  <si>
    <t xml:space="preserve">BC-00112   </t>
  </si>
  <si>
    <t>Bac Foliar Spray 500ml</t>
  </si>
  <si>
    <t xml:space="preserve">BC-00202   </t>
  </si>
  <si>
    <t>Bac Funky Fungi 200gr</t>
  </si>
  <si>
    <t xml:space="preserve">BC-00301   </t>
  </si>
  <si>
    <t>Bac Rootstimulator 300ml</t>
  </si>
  <si>
    <t xml:space="preserve">BC-00302   </t>
  </si>
  <si>
    <t>Bac Bloomstimulator 300ml</t>
  </si>
  <si>
    <t xml:space="preserve">BC-00303   </t>
  </si>
  <si>
    <t>Bac Final Solution 300ml</t>
  </si>
  <si>
    <t xml:space="preserve">BC-00501   </t>
  </si>
  <si>
    <t>Bac Plant Vitality Plus 500ml</t>
  </si>
  <si>
    <t xml:space="preserve">BC-00502   </t>
  </si>
  <si>
    <t>Bac Pro-active 500ml</t>
  </si>
  <si>
    <t xml:space="preserve">BC-00504   </t>
  </si>
  <si>
    <t>Bac Silica Power 500ml</t>
  </si>
  <si>
    <t xml:space="preserve">BC-00505   </t>
  </si>
  <si>
    <t>Bac Organic Grow 500 ml</t>
  </si>
  <si>
    <t xml:space="preserve">BC-00506   </t>
  </si>
  <si>
    <t>Bac Organic Bloom 500 ml</t>
  </si>
  <si>
    <t xml:space="preserve">BC-00508   </t>
  </si>
  <si>
    <t>Bac Amino Complex 500 ml</t>
  </si>
  <si>
    <t xml:space="preserve">BC-00515   </t>
  </si>
  <si>
    <t>Bac Yuccah 1L</t>
  </si>
  <si>
    <t xml:space="preserve">BC-00751   </t>
  </si>
  <si>
    <t>Bac Fast Food Mineral 750ml</t>
  </si>
  <si>
    <t xml:space="preserve">BC-00752   </t>
  </si>
  <si>
    <t>Bac Fast Food Organic 750ml</t>
  </si>
  <si>
    <t xml:space="preserve">BC-01001   </t>
  </si>
  <si>
    <t>Bac Organic Pk Booster 1L</t>
  </si>
  <si>
    <t xml:space="preserve">BC-01008   </t>
  </si>
  <si>
    <t>Bac F1 Extreme Booster 1L</t>
  </si>
  <si>
    <t xml:space="preserve">BC-01011   </t>
  </si>
  <si>
    <t>Bac Ph - 1L</t>
  </si>
  <si>
    <t xml:space="preserve">BC-01012   </t>
  </si>
  <si>
    <t>Bac Ph + 1L</t>
  </si>
  <si>
    <t xml:space="preserve">BC-01013   </t>
  </si>
  <si>
    <t>Bac Organic Bloom 1L</t>
  </si>
  <si>
    <t xml:space="preserve">BC-01014   </t>
  </si>
  <si>
    <t>Bac Organic Grow 1L</t>
  </si>
  <si>
    <t xml:space="preserve">BC-01015   </t>
  </si>
  <si>
    <t>Bac Coco Grow A 1L</t>
  </si>
  <si>
    <t xml:space="preserve">BC-01016   </t>
  </si>
  <si>
    <t>Bac Coco Grow B 1L</t>
  </si>
  <si>
    <t xml:space="preserve">BC-01019   </t>
  </si>
  <si>
    <t>Bac Ph - 5L</t>
  </si>
  <si>
    <t xml:space="preserve">BC-01022   </t>
  </si>
  <si>
    <t>BAC Plant Vitality Plus 1L</t>
  </si>
  <si>
    <t xml:space="preserve">BC-05008   </t>
  </si>
  <si>
    <t>Bac Organic Bloom 5L</t>
  </si>
  <si>
    <t xml:space="preserve">BC-05009   </t>
  </si>
  <si>
    <t>Bac Organic Grow 5L</t>
  </si>
  <si>
    <t xml:space="preserve">BC-05010   </t>
  </si>
  <si>
    <t>Bac Organic Pk Booster 5L</t>
  </si>
  <si>
    <t xml:space="preserve">BC-10004   </t>
  </si>
  <si>
    <t>Bac Organic Bloom 10L</t>
  </si>
  <si>
    <t xml:space="preserve">BC-10023   </t>
  </si>
  <si>
    <t>Bac Sugar Candy Syrup 1 L</t>
  </si>
  <si>
    <t xml:space="preserve">BC-10024   </t>
  </si>
  <si>
    <t>Bac CalMag v2.0 1L</t>
  </si>
  <si>
    <t xml:space="preserve">BC-10025   </t>
  </si>
  <si>
    <t xml:space="preserve">BDOR-0001  </t>
  </si>
  <si>
    <t>Biodor Control CNB 200</t>
  </si>
  <si>
    <t xml:space="preserve">BG-0003    </t>
  </si>
  <si>
    <t>Biogreen MAM Liquido 1L</t>
  </si>
  <si>
    <t xml:space="preserve">BG-0011    </t>
  </si>
  <si>
    <t>Biogreen X-Rooting 1L</t>
  </si>
  <si>
    <t>IL-0123</t>
  </si>
  <si>
    <t xml:space="preserve">BG-0012    </t>
  </si>
  <si>
    <t>Biogreen X-Rooting 5L</t>
  </si>
  <si>
    <t xml:space="preserve">BG-0021    </t>
  </si>
  <si>
    <t>Biogreen X-Leaf 1L</t>
  </si>
  <si>
    <t xml:space="preserve">BG-0024    </t>
  </si>
  <si>
    <t>Biogreen X-Bloom 1L</t>
  </si>
  <si>
    <t xml:space="preserve">BG-0025    </t>
  </si>
  <si>
    <t>Biogreen X-Bloom 5L</t>
  </si>
  <si>
    <t xml:space="preserve">BG-0031    </t>
  </si>
  <si>
    <t>Biogreen Biozym 5L</t>
  </si>
  <si>
    <t xml:space="preserve">BG-0032    </t>
  </si>
  <si>
    <t>Biogreen Biozym 10L</t>
  </si>
  <si>
    <t xml:space="preserve">BG-0036    </t>
  </si>
  <si>
    <t>Biogreen Calgel 1L</t>
  </si>
  <si>
    <t xml:space="preserve">BG-0037    </t>
  </si>
  <si>
    <t>Biogreen Calgel 5L</t>
  </si>
  <si>
    <t xml:space="preserve">BG-0043    </t>
  </si>
  <si>
    <t>Biogreen Flower Boost x6</t>
  </si>
  <si>
    <t xml:space="preserve">BG-0044    </t>
  </si>
  <si>
    <t>Biogreen CO2 Tablets x100</t>
  </si>
  <si>
    <t xml:space="preserve">BG-0060    </t>
  </si>
  <si>
    <t>Biogreen X-Force 5L</t>
  </si>
  <si>
    <t xml:space="preserve">BG-0071    </t>
  </si>
  <si>
    <t>Biogreen Hidro A+B 10L</t>
  </si>
  <si>
    <t xml:space="preserve">BG-0091    </t>
  </si>
  <si>
    <t>Biogreen X-Blast 1L</t>
  </si>
  <si>
    <t xml:space="preserve">BG-0092    </t>
  </si>
  <si>
    <t>Biogreen X-Blast 5L</t>
  </si>
  <si>
    <t xml:space="preserve">BG-0100    </t>
  </si>
  <si>
    <t>Biogreen MAM 5L</t>
  </si>
  <si>
    <t xml:space="preserve">BG-0101    </t>
  </si>
  <si>
    <t xml:space="preserve">BG-0102    </t>
  </si>
  <si>
    <t xml:space="preserve">BIOF-0005  </t>
  </si>
  <si>
    <t>NPK Mighty Wash 10L</t>
  </si>
  <si>
    <t xml:space="preserve">BIOT-00004 </t>
  </si>
  <si>
    <t>Biotabs Bactrex 250gr</t>
  </si>
  <si>
    <t xml:space="preserve">BIOT-00006 </t>
  </si>
  <si>
    <t>Biotabs Biotabs 100pcs</t>
  </si>
  <si>
    <t xml:space="preserve">BIOT-00009 </t>
  </si>
  <si>
    <t>Biotabs Orgatrex 5L</t>
  </si>
  <si>
    <t xml:space="preserve">BIOT-00011 </t>
  </si>
  <si>
    <t>Biotabs Startrex 5kg</t>
  </si>
  <si>
    <t xml:space="preserve">BIOT-00017 </t>
  </si>
  <si>
    <t>Biotabs Boom Boom Spray 250ml</t>
  </si>
  <si>
    <t xml:space="preserve">BIOT-00019 </t>
  </si>
  <si>
    <t>Biotabs Bio PK 5-8 5L</t>
  </si>
  <si>
    <t xml:space="preserve">BIOT-00029 </t>
  </si>
  <si>
    <t>Biotabs Silicium Flash 4,5Kg</t>
  </si>
  <si>
    <t xml:space="preserve">BN-01013   </t>
  </si>
  <si>
    <t>Bio Nova BN Roots 1L</t>
  </si>
  <si>
    <t xml:space="preserve">BN-01014   </t>
  </si>
  <si>
    <t>Bio Nova BN X-Cel 1L</t>
  </si>
  <si>
    <t xml:space="preserve">BN-01015   </t>
  </si>
  <si>
    <t>Bio Nova BN X-Cel 5L</t>
  </si>
  <si>
    <t xml:space="preserve">BN-05001   </t>
  </si>
  <si>
    <t>Bio Nova Coco Forte A+B 5L</t>
  </si>
  <si>
    <t xml:space="preserve">BN-05002   </t>
  </si>
  <si>
    <t>Bio Nova BN-Zym 5L</t>
  </si>
  <si>
    <t xml:space="preserve">BN-05003   </t>
  </si>
  <si>
    <t>Bio Nova N 27 nitrogeno 5L</t>
  </si>
  <si>
    <t xml:space="preserve">BN-05005   </t>
  </si>
  <si>
    <t>Bio Nova Soil Super Mix 5L</t>
  </si>
  <si>
    <t xml:space="preserve">BN-05012   </t>
  </si>
  <si>
    <t>Bio Nova Missing Link 5L</t>
  </si>
  <si>
    <t xml:space="preserve">BN-05014   </t>
  </si>
  <si>
    <t>Bio Nova BN Roots 5L</t>
  </si>
  <si>
    <t xml:space="preserve">CNB-05001  </t>
  </si>
  <si>
    <t>Delta 9  Bioestimulante 500ml</t>
  </si>
  <si>
    <t xml:space="preserve">CNB-05002  </t>
  </si>
  <si>
    <t>Delta 10 Floración 500ml</t>
  </si>
  <si>
    <t xml:space="preserve">CNB-05003  </t>
  </si>
  <si>
    <t>Delta 8 Crecimiento 500ml</t>
  </si>
  <si>
    <t xml:space="preserve">CNB-50001  </t>
  </si>
  <si>
    <t>Delta 9 Bioestimulante 5L</t>
  </si>
  <si>
    <t xml:space="preserve">CNB-50002  </t>
  </si>
  <si>
    <t>Delta 8 Crecimiento 5L</t>
  </si>
  <si>
    <t xml:space="preserve">CNB-50003  </t>
  </si>
  <si>
    <t>Delta 10 Floración 5L</t>
  </si>
  <si>
    <t xml:space="preserve">CNNA-00001 </t>
  </si>
  <si>
    <t>Canna Terra Professional 50L</t>
  </si>
  <si>
    <t xml:space="preserve">CNNA-00006 </t>
  </si>
  <si>
    <t>Canna Arcilla expandida 45L</t>
  </si>
  <si>
    <t xml:space="preserve">CNNA-00009 </t>
  </si>
  <si>
    <t>Canna Coco Profesional Plus 50L</t>
  </si>
  <si>
    <t xml:space="preserve">CNNA-10001 </t>
  </si>
  <si>
    <t>Canna Terra Vega 1L</t>
  </si>
  <si>
    <t xml:space="preserve">CNNA-10002 </t>
  </si>
  <si>
    <t>Canna Terra Flores 1L</t>
  </si>
  <si>
    <t xml:space="preserve">CNNA-10003 </t>
  </si>
  <si>
    <t>Canna Bio Vega 1L</t>
  </si>
  <si>
    <t xml:space="preserve">CNNA-10004 </t>
  </si>
  <si>
    <t>Canna Bio Flores 1L</t>
  </si>
  <si>
    <t xml:space="preserve">CNNA-10005 </t>
  </si>
  <si>
    <t>Canna Biorhizotonic 1L</t>
  </si>
  <si>
    <t xml:space="preserve">CNNA-10006 </t>
  </si>
  <si>
    <t>Canna Bioboost 1L</t>
  </si>
  <si>
    <t xml:space="preserve">CNNA-10007 </t>
  </si>
  <si>
    <t>Canna Coco A 1L</t>
  </si>
  <si>
    <t xml:space="preserve">CNNA-10008 </t>
  </si>
  <si>
    <t>Canna Coco B 1L</t>
  </si>
  <si>
    <t xml:space="preserve">CNNA-10009 </t>
  </si>
  <si>
    <t>Canna Cannaboost 1L</t>
  </si>
  <si>
    <t xml:space="preserve">CNNA-10010 </t>
  </si>
  <si>
    <t>Canna Flush 1L</t>
  </si>
  <si>
    <t xml:space="preserve">CNNA-10011 </t>
  </si>
  <si>
    <t>Canna Rhizotonic 1L</t>
  </si>
  <si>
    <t xml:space="preserve">CNNA-10012 </t>
  </si>
  <si>
    <t>Canna Cannazym 1L</t>
  </si>
  <si>
    <t xml:space="preserve">CNNA-10013 </t>
  </si>
  <si>
    <t>Canna Pk 13-14 1L</t>
  </si>
  <si>
    <t xml:space="preserve">CNNA-10014 </t>
  </si>
  <si>
    <t>Canna Ph + 1L</t>
  </si>
  <si>
    <t>CNNA-10014A</t>
  </si>
  <si>
    <t>Canna Ph + Plus 1L</t>
  </si>
  <si>
    <t xml:space="preserve">CNNA-10015 </t>
  </si>
  <si>
    <t>Canna Ph - Grow 1L</t>
  </si>
  <si>
    <t xml:space="preserve">CNNA-10016 </t>
  </si>
  <si>
    <t>Canna Ph - Bloom 1L</t>
  </si>
  <si>
    <t xml:space="preserve">CNNA-10017 </t>
  </si>
  <si>
    <t>Canna Ph - Acido Organico 1L</t>
  </si>
  <si>
    <t xml:space="preserve">CNNA-10023 </t>
  </si>
  <si>
    <t>Canna Carencia Hierro Plus 1L</t>
  </si>
  <si>
    <t xml:space="preserve">CNNA-10024 </t>
  </si>
  <si>
    <t>Canna Carencia Nitrogeno 1L</t>
  </si>
  <si>
    <t xml:space="preserve">CNNA-10025 </t>
  </si>
  <si>
    <t>Canna Carencia Potasio 1L</t>
  </si>
  <si>
    <t xml:space="preserve">CNNA-10026 </t>
  </si>
  <si>
    <t>Canna Carencia Fosforo 1L</t>
  </si>
  <si>
    <t xml:space="preserve">CNNA-10027 </t>
  </si>
  <si>
    <t>Canna Carencia Magnesio 1L</t>
  </si>
  <si>
    <t xml:space="preserve">CNNA-10028 </t>
  </si>
  <si>
    <t>Canna Carencia Calcio 1L</t>
  </si>
  <si>
    <t xml:space="preserve">CNNA-10038 </t>
  </si>
  <si>
    <t>Canna Cure 1L</t>
  </si>
  <si>
    <t xml:space="preserve">CNNA-10039 </t>
  </si>
  <si>
    <t>Canna Trace Mix 1L</t>
  </si>
  <si>
    <t xml:space="preserve">CNNA-10041 </t>
  </si>
  <si>
    <t>Canna CalMag Agent 1L</t>
  </si>
  <si>
    <t xml:space="preserve">CNNA-10042 </t>
  </si>
  <si>
    <t>Canna CalMag Agent 5L</t>
  </si>
  <si>
    <t xml:space="preserve">CNNA-20001 </t>
  </si>
  <si>
    <t>Canna Terra Flores 20L</t>
  </si>
  <si>
    <t xml:space="preserve">CNNA-20003 </t>
  </si>
  <si>
    <t>Canna Coco A 20L</t>
  </si>
  <si>
    <t xml:space="preserve">CNNA-20004 </t>
  </si>
  <si>
    <t>Canna Coco B 20L</t>
  </si>
  <si>
    <t xml:space="preserve">CNNA-50001 </t>
  </si>
  <si>
    <t>Canna Terra Vega 5L</t>
  </si>
  <si>
    <t xml:space="preserve">CNNA-50002 </t>
  </si>
  <si>
    <t>Canna Terra Flores 5L</t>
  </si>
  <si>
    <t xml:space="preserve">CNNA-50003 </t>
  </si>
  <si>
    <t>Canna Bio Vega 5L</t>
  </si>
  <si>
    <t xml:space="preserve">CNNA-50004 </t>
  </si>
  <si>
    <t>Canna Bio Flores 5L</t>
  </si>
  <si>
    <t xml:space="preserve">CNNA-50005 </t>
  </si>
  <si>
    <t>Canna Flush 5L</t>
  </si>
  <si>
    <t xml:space="preserve">CNNA-50007 </t>
  </si>
  <si>
    <t>Canna Coco A 5L</t>
  </si>
  <si>
    <t xml:space="preserve">CNNA-50008 </t>
  </si>
  <si>
    <t>Canna Coco B 5L</t>
  </si>
  <si>
    <t xml:space="preserve">CNNA-50012 </t>
  </si>
  <si>
    <t>Canna Cannazym 5L</t>
  </si>
  <si>
    <t xml:space="preserve">CNNA-50013 </t>
  </si>
  <si>
    <t>Canna Pk 13-14 5L</t>
  </si>
  <si>
    <t xml:space="preserve">CNNA-50014 </t>
  </si>
  <si>
    <t>Canna Rhizotonic 5L</t>
  </si>
  <si>
    <t xml:space="preserve">CNNA-50015 </t>
  </si>
  <si>
    <t>Canna Bioboost 5L</t>
  </si>
  <si>
    <t xml:space="preserve">CNNA-50016 </t>
  </si>
  <si>
    <t>Canna Cannaboost 5L</t>
  </si>
  <si>
    <t xml:space="preserve">CNNA-50027 </t>
  </si>
  <si>
    <t>Canna Hydro Vega Agua Blanda A 5L</t>
  </si>
  <si>
    <t xml:space="preserve">CNNA-50028 </t>
  </si>
  <si>
    <t>Canna Hydro Vega Agua Blanda B 5L</t>
  </si>
  <si>
    <t xml:space="preserve">CNNA-50037 </t>
  </si>
  <si>
    <t>Canna Hydro Flores Agua Blanda A 5L</t>
  </si>
  <si>
    <t xml:space="preserve">CNNA-50038 </t>
  </si>
  <si>
    <t>Canna Hydro Flores Agua Blanda B 5L</t>
  </si>
  <si>
    <t xml:space="preserve">CNNA-50039 </t>
  </si>
  <si>
    <t>Canna Cure 5L</t>
  </si>
  <si>
    <t xml:space="preserve">CNNA-50041 </t>
  </si>
  <si>
    <t>Canna Biorhizotonic 5L</t>
  </si>
  <si>
    <t xml:space="preserve">CNNA-90001 </t>
  </si>
  <si>
    <t>Canna Coco A 10L</t>
  </si>
  <si>
    <t xml:space="preserve">CNNA-90002 </t>
  </si>
  <si>
    <t>Canna Coco B 10L</t>
  </si>
  <si>
    <t xml:space="preserve">CNNA-90003 </t>
  </si>
  <si>
    <t>Canna Terra Vega 10L</t>
  </si>
  <si>
    <t xml:space="preserve">CNNA-90004 </t>
  </si>
  <si>
    <t>Canna Terra Flores 10L</t>
  </si>
  <si>
    <t xml:space="preserve">CNNA-90005 </t>
  </si>
  <si>
    <t>Canna Cannazym 10L</t>
  </si>
  <si>
    <t xml:space="preserve">CNNA-90006 </t>
  </si>
  <si>
    <t>Canna Bio Flores 10L</t>
  </si>
  <si>
    <t xml:space="preserve">CNNA-90007 </t>
  </si>
  <si>
    <t>Canna Pk 13-14 10L</t>
  </si>
  <si>
    <t xml:space="preserve">CNNA-90008 </t>
  </si>
  <si>
    <t>Canna Bio Vega 10L</t>
  </si>
  <si>
    <t xml:space="preserve">CNNA-90009 </t>
  </si>
  <si>
    <t>Canna Cannaboost 10L</t>
  </si>
  <si>
    <t xml:space="preserve">CNNA-90010 </t>
  </si>
  <si>
    <t>Canna Rhizotonic 10L</t>
  </si>
  <si>
    <t xml:space="preserve">CNNA-90020 </t>
  </si>
  <si>
    <t>Canna Bioboost 10L</t>
  </si>
  <si>
    <t xml:space="preserve">CNNA-90021 </t>
  </si>
  <si>
    <t>Canna Biorhizotonic 10L</t>
  </si>
  <si>
    <t xml:space="preserve">CNNA-90022 </t>
  </si>
  <si>
    <t xml:space="preserve">CNNA-90023 </t>
  </si>
  <si>
    <t xml:space="preserve">CNNA-90024 </t>
  </si>
  <si>
    <t xml:space="preserve">CUL-0003   </t>
  </si>
  <si>
    <t>Microscopio Lumangy Led x50</t>
  </si>
  <si>
    <t xml:space="preserve">CUL-00110  </t>
  </si>
  <si>
    <t>Medidor Hanna Eco PH (Versión 2)</t>
  </si>
  <si>
    <t xml:space="preserve">CUL-00112  </t>
  </si>
  <si>
    <t>Medidor Hanna Eco EC</t>
  </si>
  <si>
    <t xml:space="preserve">CUL-0011A  </t>
  </si>
  <si>
    <t>Microscopio Mini-LED 45x P.F - Adaptador Teléfono</t>
  </si>
  <si>
    <t xml:space="preserve">CUL-00124  </t>
  </si>
  <si>
    <t>Medidor Adwa PH/Temperatura Waterproof</t>
  </si>
  <si>
    <t xml:space="preserve">CUL-00125  </t>
  </si>
  <si>
    <t>Medidor Adwa EC/Tds/Temperatura Waterproof</t>
  </si>
  <si>
    <t xml:space="preserve">CUL-00130  </t>
  </si>
  <si>
    <t>Medidor Milwaukee PH MW100</t>
  </si>
  <si>
    <t xml:space="preserve">CUL-00138  </t>
  </si>
  <si>
    <t>Medidor Milwaukee Martini PH55 (ph/temp WP)</t>
  </si>
  <si>
    <t xml:space="preserve">CUL-00139  </t>
  </si>
  <si>
    <t>Medidor Milwaukee Martini EC</t>
  </si>
  <si>
    <t xml:space="preserve">CUL-0014   </t>
  </si>
  <si>
    <t>Microscopio Mini-LED 45x P.F</t>
  </si>
  <si>
    <t xml:space="preserve">CUL-00147  </t>
  </si>
  <si>
    <t>Milwaukee Sonda Recambio PH/EC SE600 (para MW802)</t>
  </si>
  <si>
    <t xml:space="preserve">CUL-00160  </t>
  </si>
  <si>
    <t>Medidor Bluelab PH Pen</t>
  </si>
  <si>
    <t xml:space="preserve">CUL-00161  </t>
  </si>
  <si>
    <t>Medidor Bluelab EC Pen</t>
  </si>
  <si>
    <t xml:space="preserve">CUL-00163  </t>
  </si>
  <si>
    <t>Medidor Bluelab Guardian (PH, EC, Cº) Continuo + RAEE WiFi</t>
  </si>
  <si>
    <t xml:space="preserve">CUL-00165  </t>
  </si>
  <si>
    <t>Medidor Bluelab Truncheon EC</t>
  </si>
  <si>
    <t xml:space="preserve">CUL-00172  </t>
  </si>
  <si>
    <t>Medidor Bluelab - Recambio SONDA PH</t>
  </si>
  <si>
    <t xml:space="preserve">CUL-00191  </t>
  </si>
  <si>
    <t>Medidor Vanguard PH</t>
  </si>
  <si>
    <t xml:space="preserve">CUL-0060   </t>
  </si>
  <si>
    <t>Bote Calibrador PH 4,0  250ml BLUELAB</t>
  </si>
  <si>
    <t xml:space="preserve">CUL-0061   </t>
  </si>
  <si>
    <t>Bote Calibrador PH 7,0  250ml BLUELAB</t>
  </si>
  <si>
    <t xml:space="preserve">CUL-0100   </t>
  </si>
  <si>
    <t>Sobre calibrador PH7 Milwaukee</t>
  </si>
  <si>
    <t xml:space="preserve">CUL-0101   </t>
  </si>
  <si>
    <t>Sobre calibrador PH4 Milwaukee</t>
  </si>
  <si>
    <t xml:space="preserve">CUL-0290   </t>
  </si>
  <si>
    <t>Silenciador Flexible 250-1000mm</t>
  </si>
  <si>
    <t xml:space="preserve">CUL-0331   </t>
  </si>
  <si>
    <t>Alu+ 102 mm (10m)</t>
  </si>
  <si>
    <t xml:space="preserve">CUL-0333   </t>
  </si>
  <si>
    <t>Alu+ 152 mm (10m)</t>
  </si>
  <si>
    <t xml:space="preserve">CUL-0334   </t>
  </si>
  <si>
    <t>Alu+ 203 mm (10m)</t>
  </si>
  <si>
    <t xml:space="preserve">CUL-0335   </t>
  </si>
  <si>
    <t>Alu+ 254 mm (10m)</t>
  </si>
  <si>
    <t xml:space="preserve">CUL-0336   </t>
  </si>
  <si>
    <t>Alu+ 315 mm (10m)</t>
  </si>
  <si>
    <t xml:space="preserve">CUL-0341   </t>
  </si>
  <si>
    <t>Alu+ 102 mm (3m)</t>
  </si>
  <si>
    <t xml:space="preserve">CUL-0371   </t>
  </si>
  <si>
    <t>Sono + 127mm (10m)</t>
  </si>
  <si>
    <t xml:space="preserve">CUL-0372   </t>
  </si>
  <si>
    <t>Sono + 152mm (10m)</t>
  </si>
  <si>
    <t xml:space="preserve">CUL-0373   </t>
  </si>
  <si>
    <t>Sono + 203mm (10m)</t>
  </si>
  <si>
    <t xml:space="preserve">CUL-0374   </t>
  </si>
  <si>
    <t>Sono + 254mm (10m)</t>
  </si>
  <si>
    <t xml:space="preserve">CUL-0375   </t>
  </si>
  <si>
    <t>Sono + 315mm (10m) VDL</t>
  </si>
  <si>
    <t xml:space="preserve">CUL-0380   </t>
  </si>
  <si>
    <t>Combi + 127mm (10m)</t>
  </si>
  <si>
    <t xml:space="preserve">CUL-0381   </t>
  </si>
  <si>
    <t>Combi + 152mm (10m)</t>
  </si>
  <si>
    <t xml:space="preserve">CUL-0382   </t>
  </si>
  <si>
    <t>Combi + 203mm (10m)</t>
  </si>
  <si>
    <t xml:space="preserve">CUL-0383   </t>
  </si>
  <si>
    <t>Combi + 254mm (10m)</t>
  </si>
  <si>
    <t xml:space="preserve">CUL-0384   </t>
  </si>
  <si>
    <t>Combi + 315mm (10m)</t>
  </si>
  <si>
    <t xml:space="preserve">CUL-0389   </t>
  </si>
  <si>
    <t>Sono + 152mm (5m)</t>
  </si>
  <si>
    <t xml:space="preserve">CUL-0419   </t>
  </si>
  <si>
    <t>Bomba Aquaking 2000L HX4500</t>
  </si>
  <si>
    <t xml:space="preserve">CUL-0420   </t>
  </si>
  <si>
    <t>Bomba Aquaking 7000L/h  Q4003</t>
  </si>
  <si>
    <t xml:space="preserve">CUL-0421   </t>
  </si>
  <si>
    <t>Bomba Aquaking 1000L/h  HX2500</t>
  </si>
  <si>
    <t xml:space="preserve">CUL-0422   </t>
  </si>
  <si>
    <t>Bomba Aquaking 4000L/h (Q2007)</t>
  </si>
  <si>
    <t xml:space="preserve">CUL-0424   </t>
  </si>
  <si>
    <t>Bomba Aquaking 11000L/h Q5503</t>
  </si>
  <si>
    <t xml:space="preserve">CUL-0434   </t>
  </si>
  <si>
    <t>Bomba Water Master (3500L/h ) + RAEE</t>
  </si>
  <si>
    <t xml:space="preserve">CUL-0455   </t>
  </si>
  <si>
    <t>Filtro Osmosis Growmax - Kit Bomba Presión 500l/dia</t>
  </si>
  <si>
    <t xml:space="preserve">CUL-0459   </t>
  </si>
  <si>
    <t>Lanza de riego EXTENSIBLE METAL</t>
  </si>
  <si>
    <t xml:space="preserve">CUL-0474   </t>
  </si>
  <si>
    <t>Gotero Netbow 12cm 4 salidas</t>
  </si>
  <si>
    <t xml:space="preserve">CUL-0476   </t>
  </si>
  <si>
    <t>Gotero Netbow 25cm 8 salidas</t>
  </si>
  <si>
    <t xml:space="preserve">CUL-0491   </t>
  </si>
  <si>
    <t>Armario Garden HighPro Basic 240 240x120x200</t>
  </si>
  <si>
    <t xml:space="preserve">CUL-0492   </t>
  </si>
  <si>
    <t xml:space="preserve">CUL-0518   </t>
  </si>
  <si>
    <t>Ventilador Suelo 45 Fertraso</t>
  </si>
  <si>
    <t xml:space="preserve">CUL-0532   </t>
  </si>
  <si>
    <t>Ventilador Cyclone Pie 45cm</t>
  </si>
  <si>
    <t xml:space="preserve">CUL-0533   </t>
  </si>
  <si>
    <t>Ventilador Cyclone Pared con cuerda 40cm + RAEE</t>
  </si>
  <si>
    <t xml:space="preserve">CUL-0534   </t>
  </si>
  <si>
    <t>Ventilador Cyclone Pinza Oscilante</t>
  </si>
  <si>
    <t xml:space="preserve">CUL-0535   </t>
  </si>
  <si>
    <t>Ventilador Cyclone Pinza</t>
  </si>
  <si>
    <t xml:space="preserve">CUL-0539   </t>
  </si>
  <si>
    <t>Ventilador Monkey Fan Oscilante 20w</t>
  </si>
  <si>
    <t xml:space="preserve">CUL-0543   </t>
  </si>
  <si>
    <t>Ventilador Typhoon WallFan pared 40cm</t>
  </si>
  <si>
    <t xml:space="preserve">CUL-0544   </t>
  </si>
  <si>
    <t>Ventilador Typhoon pie 40cm</t>
  </si>
  <si>
    <t xml:space="preserve">CUL-0546   </t>
  </si>
  <si>
    <t>Ventilador Monkey Fan 30w</t>
  </si>
  <si>
    <t xml:space="preserve">CUL-0552   </t>
  </si>
  <si>
    <t>Ventilador Pinza Pure Factory 15cm</t>
  </si>
  <si>
    <t xml:space="preserve">CUL-0553   </t>
  </si>
  <si>
    <t xml:space="preserve">CUL-06010  </t>
  </si>
  <si>
    <t>Extractor TT 100mm</t>
  </si>
  <si>
    <t xml:space="preserve">CUL-06012  </t>
  </si>
  <si>
    <t>Extractor TT 125mm</t>
  </si>
  <si>
    <t xml:space="preserve">CUL-06013  </t>
  </si>
  <si>
    <t>Extractor TT 150mm</t>
  </si>
  <si>
    <t xml:space="preserve">CUL-06019  </t>
  </si>
  <si>
    <t>Extractor Pure Fan TT 100mm</t>
  </si>
  <si>
    <t xml:space="preserve">CUL-06102  </t>
  </si>
  <si>
    <t>Extractor RVK 125 A1 (225m3/h)</t>
  </si>
  <si>
    <t xml:space="preserve">CUL-06151  </t>
  </si>
  <si>
    <t>Extractor MAX-Fan Pro 200/1220, 2 velocidades</t>
  </si>
  <si>
    <t xml:space="preserve">CUL-06152  </t>
  </si>
  <si>
    <t>Extractor MAX-Fan Pro 250/1660, 2 velocidades</t>
  </si>
  <si>
    <t xml:space="preserve">CUL-06153  </t>
  </si>
  <si>
    <t>Extractor MAX-Fan Pro 315/3180, 2 velocidades</t>
  </si>
  <si>
    <t xml:space="preserve">CUL-06163  </t>
  </si>
  <si>
    <t>Extractor Q-MAX EC 200/1203</t>
  </si>
  <si>
    <t xml:space="preserve">CUL-06201  </t>
  </si>
  <si>
    <t>Extractor Helicoidal en Linea 100</t>
  </si>
  <si>
    <t xml:space="preserve">CUL-06203  </t>
  </si>
  <si>
    <t>Extractor Helicoidal en Linea 150  + RAEE</t>
  </si>
  <si>
    <t xml:space="preserve">CUL-06403  </t>
  </si>
  <si>
    <t>Caja Extractora SOFT BOX (1200m3/h)</t>
  </si>
  <si>
    <t xml:space="preserve">CUL-06404  </t>
  </si>
  <si>
    <t>Caja Extractora SOFT BOX (1500m3/h)</t>
  </si>
  <si>
    <t xml:space="preserve">CUL-06406  </t>
  </si>
  <si>
    <t>Caja Extractora SOFT BOX (2500m3/h)</t>
  </si>
  <si>
    <t xml:space="preserve">CUL-06407  </t>
  </si>
  <si>
    <t>Caja Extractora SOFT BOX (3250m3/h)</t>
  </si>
  <si>
    <t xml:space="preserve">CUL-06408  </t>
  </si>
  <si>
    <t>Caja Extractora SOFT BOX (4250m3/h)</t>
  </si>
  <si>
    <t xml:space="preserve">CUL-06409  </t>
  </si>
  <si>
    <t>Caja Extractora SOFT BOX (5000m3/h)</t>
  </si>
  <si>
    <t xml:space="preserve">CUL-06411  </t>
  </si>
  <si>
    <t>Caja Extractora SOFT BOX (7000m3/h)</t>
  </si>
  <si>
    <t xml:space="preserve">CUL-06500  </t>
  </si>
  <si>
    <t>Goma sujecion caja extractora</t>
  </si>
  <si>
    <t xml:space="preserve">CUL-06531  </t>
  </si>
  <si>
    <t>Caja Extractora Isobox Madera (550m3/h)</t>
  </si>
  <si>
    <t xml:space="preserve">CUL-06532  </t>
  </si>
  <si>
    <t>Caja Extractora Isobox Madera (750m3/h)</t>
  </si>
  <si>
    <t xml:space="preserve">CUL-06535  </t>
  </si>
  <si>
    <t>Caja Extractora Isobox Madera (2500m3/h)</t>
  </si>
  <si>
    <t xml:space="preserve">CUL-06537  </t>
  </si>
  <si>
    <t>Caja Extractora Isobox Madera (4250m3/h)</t>
  </si>
  <si>
    <t xml:space="preserve">CUL-06540  </t>
  </si>
  <si>
    <t>Caja Extractora Isobox Madera (1500m3/h)</t>
  </si>
  <si>
    <t xml:space="preserve">CUL-06570  </t>
  </si>
  <si>
    <t>Caja Extractora Isobox Metal (5000m3/h)</t>
  </si>
  <si>
    <t xml:space="preserve">CUL-06582  </t>
  </si>
  <si>
    <t>Extractor ISO-MAX 315 (3260m3/h)</t>
  </si>
  <si>
    <t xml:space="preserve">CUL-06583  </t>
  </si>
  <si>
    <t>Extractor ISO-MAX 200 (870m3/h) - 3 velocidades</t>
  </si>
  <si>
    <t xml:space="preserve">CUL-06600  </t>
  </si>
  <si>
    <t>Extractor VK Tubular 100 (250m3/h)</t>
  </si>
  <si>
    <t xml:space="preserve">CUL-06703  </t>
  </si>
  <si>
    <t>Extractor Blauberg Centro 100 (250m3/h) + RAEE</t>
  </si>
  <si>
    <t xml:space="preserve">CUL-06972A </t>
  </si>
  <si>
    <t>Filtro Antipolen e Insectos 200mm - Recambio</t>
  </si>
  <si>
    <t xml:space="preserve">CUL-06973A </t>
  </si>
  <si>
    <t>Filtro Antipolen e Insectos 250mm - Recambio</t>
  </si>
  <si>
    <t xml:space="preserve">CUL-0714   </t>
  </si>
  <si>
    <t>Abrazadera metal 100</t>
  </si>
  <si>
    <t xml:space="preserve">CUL-0716   </t>
  </si>
  <si>
    <t>Abrazadera metal 150</t>
  </si>
  <si>
    <t xml:space="preserve">CUL-0717   </t>
  </si>
  <si>
    <t>Abrazadera metal 200</t>
  </si>
  <si>
    <t xml:space="preserve">CUL-0718   </t>
  </si>
  <si>
    <t>Abrazadera metal 250</t>
  </si>
  <si>
    <t xml:space="preserve">CUL-0730   </t>
  </si>
  <si>
    <t>Union T 100</t>
  </si>
  <si>
    <t xml:space="preserve">CUL-0742   </t>
  </si>
  <si>
    <t>Union Y 150</t>
  </si>
  <si>
    <t xml:space="preserve">CUL-0743   </t>
  </si>
  <si>
    <t>Union Y 200</t>
  </si>
  <si>
    <t xml:space="preserve">CUL-0744   </t>
  </si>
  <si>
    <t>Union Y 250</t>
  </si>
  <si>
    <t xml:space="preserve">CUL-0745   </t>
  </si>
  <si>
    <t>Union Y 315</t>
  </si>
  <si>
    <t xml:space="preserve">CUL-0753   </t>
  </si>
  <si>
    <t>Manguito Corona Metal 200mm - Accesorios</t>
  </si>
  <si>
    <t xml:space="preserve">CUL-0754   </t>
  </si>
  <si>
    <t>Manguito Corona Metal 250mm - Accesorios</t>
  </si>
  <si>
    <t xml:space="preserve">CUL-0763   </t>
  </si>
  <si>
    <t>Manguito Corona Plastico 200mm - Accesorios</t>
  </si>
  <si>
    <t xml:space="preserve">CUL-0764   </t>
  </si>
  <si>
    <t>Manguito Corona Plastico 250mm - Accesorios</t>
  </si>
  <si>
    <t xml:space="preserve">CUL-0765   </t>
  </si>
  <si>
    <t>Manguito Corona Plastico 315mm - Accesorios</t>
  </si>
  <si>
    <t xml:space="preserve">CUL-0767   </t>
  </si>
  <si>
    <t>Manguito Union 250mm</t>
  </si>
  <si>
    <t xml:space="preserve">CUL-0774   </t>
  </si>
  <si>
    <t>Clapeta Antiretorno 250</t>
  </si>
  <si>
    <t xml:space="preserve">CUL-0780   </t>
  </si>
  <si>
    <t>Reducción 125-100 metalica</t>
  </si>
  <si>
    <t xml:space="preserve">CUL-0783   </t>
  </si>
  <si>
    <t>Reduccion 150-125 metalica</t>
  </si>
  <si>
    <t xml:space="preserve">CUL-0786   </t>
  </si>
  <si>
    <t>Reducción 200-150 metalica</t>
  </si>
  <si>
    <t xml:space="preserve">CUL-0787   </t>
  </si>
  <si>
    <t>Reducción 250-150 metalica</t>
  </si>
  <si>
    <t xml:space="preserve">CUL-0788   </t>
  </si>
  <si>
    <t>Reducción 250-200 metalica</t>
  </si>
  <si>
    <t xml:space="preserve">CUL-0790   </t>
  </si>
  <si>
    <t>Reduccion 315-250 metalica</t>
  </si>
  <si>
    <t xml:space="preserve">CUL-0800   </t>
  </si>
  <si>
    <t>Generador de niebla - Disco Ceramico repuesto (3u)</t>
  </si>
  <si>
    <t xml:space="preserve">CUL-0814   </t>
  </si>
  <si>
    <t>Humidificador Pure Fogger 4,5L</t>
  </si>
  <si>
    <t xml:space="preserve">CUL-0815   </t>
  </si>
  <si>
    <t>Humidificador Monster Fogger 5L/h</t>
  </si>
  <si>
    <t xml:space="preserve">CUL-0818   </t>
  </si>
  <si>
    <t>Humidificador Pure Factory 8L</t>
  </si>
  <si>
    <t xml:space="preserve">CUL-0837   </t>
  </si>
  <si>
    <t>Deshumidificador VDL (30L/dia)</t>
  </si>
  <si>
    <t xml:space="preserve">CUL-0838   </t>
  </si>
  <si>
    <t>Deshumidificador 9105 (105L/dia)</t>
  </si>
  <si>
    <t xml:space="preserve">CUL-0841   </t>
  </si>
  <si>
    <t>Deshumidificador Industrial DH-801B PF (80L/dia)</t>
  </si>
  <si>
    <t xml:space="preserve">CUL-0842   </t>
  </si>
  <si>
    <t>Deshumidificador Industrial DH-504B PF (50L/dia)</t>
  </si>
  <si>
    <t xml:space="preserve">CUL-0844   </t>
  </si>
  <si>
    <t>Deshumidificador VDL (50L/dia)</t>
  </si>
  <si>
    <t xml:space="preserve">CUL-0847   </t>
  </si>
  <si>
    <t>Boveda 62% 67gr</t>
  </si>
  <si>
    <t xml:space="preserve">CUL-0850   </t>
  </si>
  <si>
    <t>Co2 pastillas (60u) PL</t>
  </si>
  <si>
    <t xml:space="preserve">CUL-0854   </t>
  </si>
  <si>
    <t>Co2 pastillas VDL (60u)</t>
  </si>
  <si>
    <t xml:space="preserve">CUL-0857   </t>
  </si>
  <si>
    <t>Boveda 58% 67gr</t>
  </si>
  <si>
    <t xml:space="preserve">CUL-0858   </t>
  </si>
  <si>
    <t>Co2 Boost Buddy</t>
  </si>
  <si>
    <t xml:space="preserve">CUL-0860   </t>
  </si>
  <si>
    <t>Co2 Boost equipo</t>
  </si>
  <si>
    <t xml:space="preserve">CUL-0861   </t>
  </si>
  <si>
    <t>Boveda 58% 8gr</t>
  </si>
  <si>
    <t xml:space="preserve">CUL-0866   </t>
  </si>
  <si>
    <t>CO2 Dosificador con Electrovalvula</t>
  </si>
  <si>
    <t xml:space="preserve">CUL-0868   </t>
  </si>
  <si>
    <t>CO2 Controlador Dosis VDL</t>
  </si>
  <si>
    <t xml:space="preserve">CUL-0872   </t>
  </si>
  <si>
    <t>Co2 Controlador Digital PRO-LEAF (PPM-B1)</t>
  </si>
  <si>
    <t>CUL-0872KIT</t>
  </si>
  <si>
    <t xml:space="preserve">CUL-0885   </t>
  </si>
  <si>
    <t>Generador CO2 LP 8 Quemadores Pure Factory</t>
  </si>
  <si>
    <t xml:space="preserve">CUL-0887   </t>
  </si>
  <si>
    <t>Generador CO2 LP 4 Quemadores Pure Factory</t>
  </si>
  <si>
    <t xml:space="preserve">CUL-0893   </t>
  </si>
  <si>
    <t xml:space="preserve">CUL-0894   </t>
  </si>
  <si>
    <t>Controlador Digital Co2 VDL</t>
  </si>
  <si>
    <t xml:space="preserve">CUL-0899   </t>
  </si>
  <si>
    <t>Deshumidificador Aereo Quest  70 26L/D</t>
  </si>
  <si>
    <t xml:space="preserve">CUL-0913   </t>
  </si>
  <si>
    <t>Fianza Botella CO2 10kg FELMAR</t>
  </si>
  <si>
    <t xml:space="preserve">CUL-0914   </t>
  </si>
  <si>
    <t>Recarga Botella CO2 10kg FELMAR</t>
  </si>
  <si>
    <t xml:space="preserve">CUL-1001   </t>
  </si>
  <si>
    <t>Termohigrometro digital Max Min Blanco</t>
  </si>
  <si>
    <t xml:space="preserve">CUL-1007   </t>
  </si>
  <si>
    <t>Termohigrometro Pantalla Grande con Sonda</t>
  </si>
  <si>
    <t xml:space="preserve">CUL-1015   </t>
  </si>
  <si>
    <t>Termohigrometro pantalla Grande VDL</t>
  </si>
  <si>
    <t xml:space="preserve">CUL-1101   </t>
  </si>
  <si>
    <t>Programador Analogico Legrand Omnirex</t>
  </si>
  <si>
    <t xml:space="preserve">CUL-1102   </t>
  </si>
  <si>
    <t>Programador Analogico Simple</t>
  </si>
  <si>
    <t xml:space="preserve">CUL-1190   </t>
  </si>
  <si>
    <t>Lana de roca Taco 15 x 15 (Big Block)</t>
  </si>
  <si>
    <t xml:space="preserve">CUL-1201   </t>
  </si>
  <si>
    <t>Lana de roca Cubo 4 x 4 x 4cm (unitario)</t>
  </si>
  <si>
    <t xml:space="preserve">CUL-1206   </t>
  </si>
  <si>
    <t>Lana de roca bandeja 77 alveolos 35x35x40mm</t>
  </si>
  <si>
    <t xml:space="preserve">CUL-1207   </t>
  </si>
  <si>
    <t>Lana de roca bandeja 150 alveolos 25x25x40mm</t>
  </si>
  <si>
    <t xml:space="preserve">CUL-1208   </t>
  </si>
  <si>
    <t>Slab Lana de Roca 1m (16u)</t>
  </si>
  <si>
    <t xml:space="preserve">CUL-1210   </t>
  </si>
  <si>
    <t>Jiffys TURBA 41mm (caja 1000u)</t>
  </si>
  <si>
    <t xml:space="preserve">CUL-1211   </t>
  </si>
  <si>
    <t>Jiffys TURBA 33mm (caja 2000u)</t>
  </si>
  <si>
    <t xml:space="preserve">CUL-1212   </t>
  </si>
  <si>
    <t>Jiffys TURBA 24mm (caja 2000u)</t>
  </si>
  <si>
    <t xml:space="preserve">CUL-1250   </t>
  </si>
  <si>
    <t>Root Riot Bloque Suelto (100u) Growht Tec.</t>
  </si>
  <si>
    <t xml:space="preserve">CUL-1256   </t>
  </si>
  <si>
    <t>Clones 473ml Elite 91</t>
  </si>
  <si>
    <t xml:space="preserve">CUL-1462   </t>
  </si>
  <si>
    <t>Gotero Medusa 12 salidas</t>
  </si>
  <si>
    <t xml:space="preserve">CUL-1477   </t>
  </si>
  <si>
    <t>Deposito flexible VDL 500L (80x100)</t>
  </si>
  <si>
    <t xml:space="preserve">CUL-1479   </t>
  </si>
  <si>
    <t>Deposito flexible 250L Green Barrel</t>
  </si>
  <si>
    <t xml:space="preserve">CUL-1481   </t>
  </si>
  <si>
    <t>Deposito Flexible Green Barrel 400 L</t>
  </si>
  <si>
    <t xml:space="preserve">CUL-1484   </t>
  </si>
  <si>
    <t>Deposito cuadrado verde 200L</t>
  </si>
  <si>
    <t xml:space="preserve">CUL-1486   </t>
  </si>
  <si>
    <t>Deposito cuadrado verde 300L</t>
  </si>
  <si>
    <t xml:space="preserve">CUL-1488   </t>
  </si>
  <si>
    <t>Deposito cuadrado verde 520L</t>
  </si>
  <si>
    <t xml:space="preserve">CUL-1496   </t>
  </si>
  <si>
    <t>Deposito rectangular negro 80L  - 78,5x48,5x30cm</t>
  </si>
  <si>
    <t xml:space="preserve">CUL-15119  </t>
  </si>
  <si>
    <t>Temporizador Tempobox 6x600w</t>
  </si>
  <si>
    <t xml:space="preserve">CUL-15201  </t>
  </si>
  <si>
    <t xml:space="preserve">CUL-15708  </t>
  </si>
  <si>
    <t>Controlador Temperatura Tempcon + RAEE</t>
  </si>
  <si>
    <t xml:space="preserve">CUL-15714  </t>
  </si>
  <si>
    <t>Novatec Cuadro Control CO2</t>
  </si>
  <si>
    <t xml:space="preserve">CUL-15790  </t>
  </si>
  <si>
    <t>Controlador Humicon VDL</t>
  </si>
  <si>
    <t xml:space="preserve">CUL-15816  </t>
  </si>
  <si>
    <t>Fan Controller Smartcontroller 6.5Amp SMSCom</t>
  </si>
  <si>
    <t xml:space="preserve">CUL-15830  </t>
  </si>
  <si>
    <t>Fan Controller Can Fan EC LCD temperatura y humedad</t>
  </si>
  <si>
    <t xml:space="preserve">CUL-15850  </t>
  </si>
  <si>
    <t>CliMate HumiController 16 Amp.</t>
  </si>
  <si>
    <t xml:space="preserve">CUL-16182  </t>
  </si>
  <si>
    <t>Generador de Ozono - Recambio Placa 4G e Indizono</t>
  </si>
  <si>
    <t xml:space="preserve">CUL-1636   </t>
  </si>
  <si>
    <t>Generador de Ozono Indizono 150 (3500mg/h)</t>
  </si>
  <si>
    <t xml:space="preserve">CUL-1637   </t>
  </si>
  <si>
    <t>Generador de Ozono Indizono 200 (7000mg/h)</t>
  </si>
  <si>
    <t xml:space="preserve">CUL-1638   </t>
  </si>
  <si>
    <t>Generador de Ozono Indizono 250 (7000mg/h)</t>
  </si>
  <si>
    <t xml:space="preserve">CUL-1639   </t>
  </si>
  <si>
    <t>Generador de Ozono Indizono 300 (10500mg/h)</t>
  </si>
  <si>
    <t xml:space="preserve">CUL-1662A  </t>
  </si>
  <si>
    <t>Neutralizer Kit Road - Recmabio Cartucho</t>
  </si>
  <si>
    <t xml:space="preserve">CUL-1710   </t>
  </si>
  <si>
    <t>Invernadero Garland Mini (38x24x19)</t>
  </si>
  <si>
    <t xml:space="preserve">CUL-1711   </t>
  </si>
  <si>
    <t>Invernadero Garland XXL (58x40x22,5)</t>
  </si>
  <si>
    <t xml:space="preserve">CUL-1715   </t>
  </si>
  <si>
    <t>Invernadero VDL (59x39x21)</t>
  </si>
  <si>
    <t xml:space="preserve">CUL-1716   </t>
  </si>
  <si>
    <t>Invernadero PURE FACTORY (58x37x23)</t>
  </si>
  <si>
    <t xml:space="preserve">CUL-1751   </t>
  </si>
  <si>
    <t>Manta Calentadora Pure Factory 53x25cm ( 20w)</t>
  </si>
  <si>
    <t xml:space="preserve">CUL-1807   </t>
  </si>
  <si>
    <t>Pulverizador 5L presión Water Master</t>
  </si>
  <si>
    <t xml:space="preserve">CUL-1811   </t>
  </si>
  <si>
    <t>Pulverizador Keeper presión Garden 7 5L</t>
  </si>
  <si>
    <t xml:space="preserve">CUL-1825   </t>
  </si>
  <si>
    <t>AquaKing Fogger 5L</t>
  </si>
  <si>
    <t xml:space="preserve">CUL-1901   </t>
  </si>
  <si>
    <t>Pulverizador Pulmic PEGASUS 15</t>
  </si>
  <si>
    <t xml:space="preserve">CUL-1902   </t>
  </si>
  <si>
    <t>Pulverizador Pulmic RAPTOR 12</t>
  </si>
  <si>
    <t xml:space="preserve">CUL-1903   </t>
  </si>
  <si>
    <t>Pulverizador Pulmic RAPTOR 16</t>
  </si>
  <si>
    <t xml:space="preserve">CUL-2001   </t>
  </si>
  <si>
    <t>Plastico Reflectante B/N 85 micras 2x100m</t>
  </si>
  <si>
    <t xml:space="preserve">CUL-2003   </t>
  </si>
  <si>
    <t>Plastico Reflectante Growlux Antidetección 1,22x60m</t>
  </si>
  <si>
    <t xml:space="preserve">CUL-2004   </t>
  </si>
  <si>
    <t>Plastico Reflectante Growlux Antideteccion 1,22x30m</t>
  </si>
  <si>
    <t xml:space="preserve">CUL-2028   </t>
  </si>
  <si>
    <t>Plastico Reflectante Diamond Eco Foil 1,25x100m</t>
  </si>
  <si>
    <t xml:space="preserve">CUL-2031   </t>
  </si>
  <si>
    <t>Plastico Reflectante Diamond Eco Foil 1,25x30m</t>
  </si>
  <si>
    <t xml:space="preserve">CUL-2038   </t>
  </si>
  <si>
    <t>Butilo Lamina PVC (4 x 25m)</t>
  </si>
  <si>
    <t xml:space="preserve">CUL-2322   </t>
  </si>
  <si>
    <t>Tijeras Samurai Warrior</t>
  </si>
  <si>
    <t xml:space="preserve">CUL-2325   </t>
  </si>
  <si>
    <t>Tijeras Bud Clean Punta Recta</t>
  </si>
  <si>
    <t xml:space="preserve">CUL-2326   </t>
  </si>
  <si>
    <t>Tijeras Bud Clean Punta Curva</t>
  </si>
  <si>
    <t xml:space="preserve">CUL-2327   </t>
  </si>
  <si>
    <t>Tijeras Bud Clean-Recambio muelles</t>
  </si>
  <si>
    <t xml:space="preserve">CUL-2332   </t>
  </si>
  <si>
    <t>Tijeras Mini Grip</t>
  </si>
  <si>
    <t xml:space="preserve">CUL-2348   </t>
  </si>
  <si>
    <t>Tijeras Bud Clean  Long Blade</t>
  </si>
  <si>
    <t xml:space="preserve">CUL-2349   </t>
  </si>
  <si>
    <t>Alambre forrado 50m Tutores Garland</t>
  </si>
  <si>
    <t xml:space="preserve">CUL-2409   </t>
  </si>
  <si>
    <t>Cinta Metalizada Reforzada extra grande</t>
  </si>
  <si>
    <t xml:space="preserve">CUL-2411   </t>
  </si>
  <si>
    <t>Cinta Metalizada</t>
  </si>
  <si>
    <t xml:space="preserve">CUL-3010   </t>
  </si>
  <si>
    <t>Perlita A-13 100L</t>
  </si>
  <si>
    <t xml:space="preserve">CUL-3011   </t>
  </si>
  <si>
    <t>Perlita 3L</t>
  </si>
  <si>
    <t xml:space="preserve">CUL-3014   </t>
  </si>
  <si>
    <t>Vermiculita 3L</t>
  </si>
  <si>
    <t xml:space="preserve">CUL-4014   </t>
  </si>
  <si>
    <t>Filtro Osmosis Growmax Maxquarium 500L/dia</t>
  </si>
  <si>
    <t xml:space="preserve">CUL-4016   </t>
  </si>
  <si>
    <t>Filtro Osmosis Growmax Powergrow 500L/dia</t>
  </si>
  <si>
    <t xml:space="preserve">CUL-4017   </t>
  </si>
  <si>
    <t>Filtro Osmosis Growmax Megagrow 1000L/dia</t>
  </si>
  <si>
    <t xml:space="preserve">CUL-4018   </t>
  </si>
  <si>
    <t>Filtro Osmosis Growmax - Recambio boya</t>
  </si>
  <si>
    <t xml:space="preserve">CUL-4019   </t>
  </si>
  <si>
    <t>Filtro Osmosis Growmax Ecogrow 240L/h</t>
  </si>
  <si>
    <t xml:space="preserve">CUL-4021   </t>
  </si>
  <si>
    <t>Filtro Osmosis Growmax - Recambio Filtro Carbon</t>
  </si>
  <si>
    <t xml:space="preserve">CUL-4022   </t>
  </si>
  <si>
    <t>Filtro Osmosis Growmax - Recambio Pack Filtros (Filtros de 10)</t>
  </si>
  <si>
    <t xml:space="preserve">CUL-4023   </t>
  </si>
  <si>
    <t>Filtro Osmosis Growmax - Recambio Membrana Alto Flujo 150 GPD</t>
  </si>
  <si>
    <t xml:space="preserve">CUL-4024   </t>
  </si>
  <si>
    <t>Filtro Osmosis Growmax - Recambio Filtro Desionizador 10 Maxquarium</t>
  </si>
  <si>
    <t xml:space="preserve">CUL-4025B  </t>
  </si>
  <si>
    <t>Filtro Osmosis Growmax 3000 - Filtro Carbon</t>
  </si>
  <si>
    <t xml:space="preserve">CUL-5001   </t>
  </si>
  <si>
    <t>Trampas amarillas adhesivas (paquete 10u)</t>
  </si>
  <si>
    <t xml:space="preserve">CUL-5008   </t>
  </si>
  <si>
    <t>Trampas Amarilla VDL 10x25 adhesiva (10lam)</t>
  </si>
  <si>
    <t xml:space="preserve">CUL-5050   </t>
  </si>
  <si>
    <t>Quemador de Azufre</t>
  </si>
  <si>
    <t xml:space="preserve">CUL-7124   </t>
  </si>
  <si>
    <t xml:space="preserve">CUL-7125   </t>
  </si>
  <si>
    <t>Malla cuadros 2x1 ml</t>
  </si>
  <si>
    <t xml:space="preserve">CUL-7132   </t>
  </si>
  <si>
    <t>Malla Elastica Trellinet 120x120cm VDL</t>
  </si>
  <si>
    <t xml:space="preserve">CUL-7135   </t>
  </si>
  <si>
    <t>Malla cuadros elástica Easy Grow (60-120cm)</t>
  </si>
  <si>
    <t xml:space="preserve">CUL-7139   </t>
  </si>
  <si>
    <t>Malla cuadros Blanca 2 x 1000ML</t>
  </si>
  <si>
    <t xml:space="preserve">CUL-7148   </t>
  </si>
  <si>
    <t>Malla Cuadros Webit Secret Jardin (120x60)</t>
  </si>
  <si>
    <t xml:space="preserve">CUL-7149   </t>
  </si>
  <si>
    <t xml:space="preserve">CUL-9027   </t>
  </si>
  <si>
    <t>Cola de Caballo 250 CC Neudorff</t>
  </si>
  <si>
    <t xml:space="preserve">CUL-9046   </t>
  </si>
  <si>
    <t>Clivex Ozoduct 250mm ( 10000mg/h)</t>
  </si>
  <si>
    <t xml:space="preserve">CUL-9053   </t>
  </si>
  <si>
    <t>Indizono Reparacion</t>
  </si>
  <si>
    <t xml:space="preserve">CUL-9057   </t>
  </si>
  <si>
    <t>Deposito Flexible 1000L magic</t>
  </si>
  <si>
    <t xml:space="preserve">CUL-9060   </t>
  </si>
  <si>
    <t>Ventilador MJ3 2en1</t>
  </si>
  <si>
    <t xml:space="preserve">CUL-9061   </t>
  </si>
  <si>
    <t>Sono + 254mm ( 10m) Pure Factory</t>
  </si>
  <si>
    <t xml:space="preserve">CUL-9064   </t>
  </si>
  <si>
    <t>Humidificador Fogger MJ3</t>
  </si>
  <si>
    <t xml:space="preserve">CUL-9070   </t>
  </si>
  <si>
    <t>Ventilador Industrial Pared MJ3</t>
  </si>
  <si>
    <t xml:space="preserve">CUL-9071   </t>
  </si>
  <si>
    <t>Extractor Q-MAX AC 150-555m3</t>
  </si>
  <si>
    <t xml:space="preserve">CUL-9074   </t>
  </si>
  <si>
    <t>Plastico Reflectante Diamond Magic 1.20x100m</t>
  </si>
  <si>
    <t xml:space="preserve">CUL-9075   </t>
  </si>
  <si>
    <t>Quickfill Bag 1Gal 60% WHC</t>
  </si>
  <si>
    <t xml:space="preserve">CUL-9077   </t>
  </si>
  <si>
    <t>Extractor Blauberg Turbo-E 100  ( 2 velocidades)</t>
  </si>
  <si>
    <t xml:space="preserve">CUL-9079   </t>
  </si>
  <si>
    <t>Extractor Pure Fan Inline 100mm</t>
  </si>
  <si>
    <t xml:space="preserve">CUL-9080   </t>
  </si>
  <si>
    <t>Deposito Flexible 750L Green Barrel</t>
  </si>
  <si>
    <t xml:space="preserve">CUL-9099   </t>
  </si>
  <si>
    <t>Bomba Aquaking 6000L/h Q2503</t>
  </si>
  <si>
    <t xml:space="preserve">CUL-9102   </t>
  </si>
  <si>
    <t>Secadero malla redondo MJ3 90cm</t>
  </si>
  <si>
    <t xml:space="preserve">CUL-9106   </t>
  </si>
  <si>
    <t>SONO + 315 mm ( 10m) Pure Factory</t>
  </si>
  <si>
    <t xml:space="preserve">CUL-9108   </t>
  </si>
  <si>
    <t>Plastico Reflectante Lightite Diamond 1,25x30 m</t>
  </si>
  <si>
    <t xml:space="preserve">CUL-9109   </t>
  </si>
  <si>
    <t>Tijera recta Trabe</t>
  </si>
  <si>
    <t xml:space="preserve">CUL-9110   </t>
  </si>
  <si>
    <t>Tijera curva Trabe</t>
  </si>
  <si>
    <t xml:space="preserve">CUL-9111   </t>
  </si>
  <si>
    <t>Bomba RP 3500 MAN (3500L/H)</t>
  </si>
  <si>
    <t xml:space="preserve">CUL-9112   </t>
  </si>
  <si>
    <t>Invernadero MJ3 ( 59x39x21)</t>
  </si>
  <si>
    <t xml:space="preserve">CUL-9113   </t>
  </si>
  <si>
    <t>Cable alimentacion generador CO2 PF</t>
  </si>
  <si>
    <t xml:space="preserve">CUL-9114   </t>
  </si>
  <si>
    <t>Monitor Par Meter VDL</t>
  </si>
  <si>
    <t xml:space="preserve">CUL-9115   </t>
  </si>
  <si>
    <t>Armario VP Dome Athena</t>
  </si>
  <si>
    <t xml:space="preserve">CUL-9116   </t>
  </si>
  <si>
    <t>Extractor Pure Fan Inline 150mm</t>
  </si>
  <si>
    <t xml:space="preserve">CUL-9117   </t>
  </si>
  <si>
    <t>Temporizador Tempobox 12x600w</t>
  </si>
  <si>
    <t xml:space="preserve">CUL-9118   </t>
  </si>
  <si>
    <t>Gafas cultivador Blurple Led Classic Method</t>
  </si>
  <si>
    <t xml:space="preserve">CUL-9119   </t>
  </si>
  <si>
    <t>Jiffy block coco 100x100 ( 1 ud)</t>
  </si>
  <si>
    <t xml:space="preserve">CUL-9120   </t>
  </si>
  <si>
    <t>Maquina contadora de semillas</t>
  </si>
  <si>
    <t xml:space="preserve">CUL-9121   </t>
  </si>
  <si>
    <t>Cannatester</t>
  </si>
  <si>
    <t xml:space="preserve">CUL-9122   </t>
  </si>
  <si>
    <t>Pulverizador Mochila RP-Toolland</t>
  </si>
  <si>
    <t xml:space="preserve">CUL-9123   </t>
  </si>
  <si>
    <t>Ventilador Clivex Eco Pared 3 velocidades 40cm ( 40w)</t>
  </si>
  <si>
    <t xml:space="preserve">CUL-9124   </t>
  </si>
  <si>
    <t>Ventilador Clivex Master Industrial Suelo, Pie y Pared 45cm (75w)</t>
  </si>
  <si>
    <t xml:space="preserve">CUL-9127   </t>
  </si>
  <si>
    <t xml:space="preserve">CUL-9128   </t>
  </si>
  <si>
    <t xml:space="preserve">CUL-9129   </t>
  </si>
  <si>
    <t xml:space="preserve">CUL-9130   </t>
  </si>
  <si>
    <t xml:space="preserve">CUL-9131   </t>
  </si>
  <si>
    <t xml:space="preserve">CUL-9132   </t>
  </si>
  <si>
    <t xml:space="preserve">CUL-9133   </t>
  </si>
  <si>
    <t xml:space="preserve">CUL-9135   </t>
  </si>
  <si>
    <t xml:space="preserve">CUL-9136   </t>
  </si>
  <si>
    <t xml:space="preserve">CUL-9137   </t>
  </si>
  <si>
    <t xml:space="preserve">CUL-9139   </t>
  </si>
  <si>
    <t xml:space="preserve">CUL-9140   </t>
  </si>
  <si>
    <t xml:space="preserve">CUL-9141   </t>
  </si>
  <si>
    <t xml:space="preserve">CUL-9142   </t>
  </si>
  <si>
    <t xml:space="preserve">CUL-9143   </t>
  </si>
  <si>
    <t xml:space="preserve">CUL-9145   </t>
  </si>
  <si>
    <t xml:space="preserve">CUL-9146   </t>
  </si>
  <si>
    <t xml:space="preserve">CUL-9147   </t>
  </si>
  <si>
    <t xml:space="preserve">CUL-9148   </t>
  </si>
  <si>
    <t xml:space="preserve">CUL-9149   </t>
  </si>
  <si>
    <t xml:space="preserve">CUL-9150   </t>
  </si>
  <si>
    <t xml:space="preserve">CUL-9151   </t>
  </si>
  <si>
    <t xml:space="preserve">CUL-9152   </t>
  </si>
  <si>
    <t xml:space="preserve">CUL-9153   </t>
  </si>
  <si>
    <t xml:space="preserve">CUL-9154   </t>
  </si>
  <si>
    <t xml:space="preserve">CUL-9155   </t>
  </si>
  <si>
    <t xml:space="preserve">CUL-9156   </t>
  </si>
  <si>
    <t xml:space="preserve">CUL-9157   </t>
  </si>
  <si>
    <t xml:space="preserve">CUL-9159   </t>
  </si>
  <si>
    <t xml:space="preserve">CUL-9161   </t>
  </si>
  <si>
    <t xml:space="preserve">CUL-9162   </t>
  </si>
  <si>
    <t xml:space="preserve">CUL-9163   </t>
  </si>
  <si>
    <t xml:space="preserve">CUL-9164   </t>
  </si>
  <si>
    <t xml:space="preserve">CUL-9165   </t>
  </si>
  <si>
    <t xml:space="preserve">CUL-9166   </t>
  </si>
  <si>
    <t xml:space="preserve">CUL-9168   </t>
  </si>
  <si>
    <t xml:space="preserve">CUL-9169   </t>
  </si>
  <si>
    <t xml:space="preserve">DB-00100   </t>
  </si>
  <si>
    <t>Armario Dark Box DB100 100x100x200cm</t>
  </si>
  <si>
    <t>DB-00100-LT</t>
  </si>
  <si>
    <t>Armario Dark Box Lite 100x100x200</t>
  </si>
  <si>
    <t xml:space="preserve">DB-10001   </t>
  </si>
  <si>
    <t>Armario Dark Box - Esquinera 3 partes</t>
  </si>
  <si>
    <t xml:space="preserve">DP-0011    </t>
  </si>
  <si>
    <t>Dutchpro Silica 1L</t>
  </si>
  <si>
    <t xml:space="preserve">DP-00111   </t>
  </si>
  <si>
    <t>Shaman 10 reg</t>
  </si>
  <si>
    <t xml:space="preserve">DP-0012    </t>
  </si>
  <si>
    <t>Dutchpro Silica 5L</t>
  </si>
  <si>
    <t xml:space="preserve">DP-0019    </t>
  </si>
  <si>
    <t>Dutchpro Take Root 5L</t>
  </si>
  <si>
    <t xml:space="preserve">DP-10054   </t>
  </si>
  <si>
    <t xml:space="preserve">DRS-03154  </t>
  </si>
  <si>
    <t>Armario Dark Street V4.0 120x120x198cm</t>
  </si>
  <si>
    <t xml:space="preserve">DUN-02008  </t>
  </si>
  <si>
    <t>Soul Star 2 fem</t>
  </si>
  <si>
    <t xml:space="preserve">EVG-0014   </t>
  </si>
  <si>
    <t xml:space="preserve">EXN-0001   </t>
  </si>
  <si>
    <t>Dolce 80 10L</t>
  </si>
  <si>
    <t xml:space="preserve">EXN-0002   </t>
  </si>
  <si>
    <t>Dolce 80 5L</t>
  </si>
  <si>
    <t xml:space="preserve">EXT-0004   </t>
  </si>
  <si>
    <t>Pollinator Phoenix 400</t>
  </si>
  <si>
    <t xml:space="preserve">EXT-0005B  </t>
  </si>
  <si>
    <t>Pollinator Phoenix 150 - Malla repuesto 150 micras</t>
  </si>
  <si>
    <t xml:space="preserve">EXT-0011   </t>
  </si>
  <si>
    <t>Liofilizador Farmaceutico 60Kg</t>
  </si>
  <si>
    <t xml:space="preserve">EXT-0180   </t>
  </si>
  <si>
    <t>Pollinator Secret Box Grande</t>
  </si>
  <si>
    <t xml:space="preserve">EXT-3003   </t>
  </si>
  <si>
    <t>BHO Roller Extractor XL300</t>
  </si>
  <si>
    <t xml:space="preserve">EXT-3007   </t>
  </si>
  <si>
    <t xml:space="preserve">EXT-3008   </t>
  </si>
  <si>
    <t xml:space="preserve">EXT-3009   </t>
  </si>
  <si>
    <t xml:space="preserve">EXT-3010   </t>
  </si>
  <si>
    <t xml:space="preserve">FBA-0118   </t>
  </si>
  <si>
    <t>Gelato auto 1 fem (Fast Buds)</t>
  </si>
  <si>
    <t xml:space="preserve">FBA-0119   </t>
  </si>
  <si>
    <t>Mimosa Cake auto 1 fem (Fast Buds)</t>
  </si>
  <si>
    <t xml:space="preserve">FBA-0124   </t>
  </si>
  <si>
    <t>Original auto Moby Dick 1fem</t>
  </si>
  <si>
    <t xml:space="preserve">FBA-0125   </t>
  </si>
  <si>
    <t>Original Auto AK 1 fem</t>
  </si>
  <si>
    <t xml:space="preserve">FBA-0126   </t>
  </si>
  <si>
    <t>Original Auto Bubblegum 1 fem</t>
  </si>
  <si>
    <t xml:space="preserve">FBA-0127   </t>
  </si>
  <si>
    <t>Original Auto Cheese 1 fem</t>
  </si>
  <si>
    <t xml:space="preserve">FBA-0128   </t>
  </si>
  <si>
    <t>Original Auto Jack Herer 1 fem</t>
  </si>
  <si>
    <t xml:space="preserve">FBA-0129   </t>
  </si>
  <si>
    <t>Original Auto Skunk1 fem</t>
  </si>
  <si>
    <t xml:space="preserve">FBA-0130   </t>
  </si>
  <si>
    <t>Original Auto white widow 1 fem</t>
  </si>
  <si>
    <t xml:space="preserve">FBA-0132   </t>
  </si>
  <si>
    <t>Purple Punch Auto 1 fem</t>
  </si>
  <si>
    <t xml:space="preserve">FBA-0133   </t>
  </si>
  <si>
    <t>Strawberry Banana Auto 1 fem</t>
  </si>
  <si>
    <t xml:space="preserve">FBA-0134   </t>
  </si>
  <si>
    <t>Tropicana Cookies Auto 1 fem</t>
  </si>
  <si>
    <t xml:space="preserve">FBA-0135   </t>
  </si>
  <si>
    <t>Zkittlez Auto 1 fem</t>
  </si>
  <si>
    <t xml:space="preserve">FBA-0136   </t>
  </si>
  <si>
    <t>Original Amnesia Haze Auto 1 fem</t>
  </si>
  <si>
    <t xml:space="preserve">FBA-0138   </t>
  </si>
  <si>
    <t>Original Critical Auto 1 fem</t>
  </si>
  <si>
    <t xml:space="preserve">FBA-0139   </t>
  </si>
  <si>
    <t>Tropicana Cookies FF 1 fem</t>
  </si>
  <si>
    <t xml:space="preserve">FBA-0140   </t>
  </si>
  <si>
    <t>Lemon AK auto 1 fem</t>
  </si>
  <si>
    <t xml:space="preserve">FBA-0141   </t>
  </si>
  <si>
    <t xml:space="preserve">FBA-03042  </t>
  </si>
  <si>
    <t>Tangie'matic Auto 3 fem (Fast Buds)</t>
  </si>
  <si>
    <t xml:space="preserve">FBA-0319   </t>
  </si>
  <si>
    <t>Mimosa Cake Auto 3 fem (Fast Buds)</t>
  </si>
  <si>
    <t xml:space="preserve">FBA-0322   </t>
  </si>
  <si>
    <t>Purple Punch Auto 3fem</t>
  </si>
  <si>
    <t xml:space="preserve">FBA-0323   </t>
  </si>
  <si>
    <t xml:space="preserve">FBA-0324   </t>
  </si>
  <si>
    <t xml:space="preserve">FBA-0325   </t>
  </si>
  <si>
    <t xml:space="preserve">FBA-0326   </t>
  </si>
  <si>
    <t xml:space="preserve">FBA-0327   </t>
  </si>
  <si>
    <t xml:space="preserve">FBA-0328   </t>
  </si>
  <si>
    <t xml:space="preserve">FBA-0329   </t>
  </si>
  <si>
    <t xml:space="preserve">FBA-0330   </t>
  </si>
  <si>
    <t xml:space="preserve">FBA-0331   </t>
  </si>
  <si>
    <t xml:space="preserve">FBA-0333   </t>
  </si>
  <si>
    <t xml:space="preserve">FBA-0334   </t>
  </si>
  <si>
    <t xml:space="preserve">FBA-0335   </t>
  </si>
  <si>
    <t xml:space="preserve">FBA-0336   </t>
  </si>
  <si>
    <t xml:space="preserve">FC-15260   </t>
  </si>
  <si>
    <t>Mechero Clipper Classic Dibujos (48u)</t>
  </si>
  <si>
    <t xml:space="preserve">FC-16019   </t>
  </si>
  <si>
    <t>Grinder plastico con tapa</t>
  </si>
  <si>
    <t xml:space="preserve">FC-17008   </t>
  </si>
  <si>
    <t>Limpiador de Toxinas Magnum 2oz</t>
  </si>
  <si>
    <t xml:space="preserve">FDN-0002   </t>
  </si>
  <si>
    <t>Carbo Charger 5L Delta Nutrients</t>
  </si>
  <si>
    <t xml:space="preserve">FER-00016  </t>
  </si>
  <si>
    <t>Bactohemp 225gr</t>
  </si>
  <si>
    <t xml:space="preserve">FER-00021  </t>
  </si>
  <si>
    <t>Bactobloom 250gr</t>
  </si>
  <si>
    <t xml:space="preserve">FER-00025  </t>
  </si>
  <si>
    <t>Clonador Clonex 50ml</t>
  </si>
  <si>
    <t xml:space="preserve">FER-00028  </t>
  </si>
  <si>
    <t>Clonex Mist 750ml</t>
  </si>
  <si>
    <t xml:space="preserve">FER-00031  </t>
  </si>
  <si>
    <t>Cannaboom Super Boom Compactor 1390gr.</t>
  </si>
  <si>
    <t xml:space="preserve">FER-00035  </t>
  </si>
  <si>
    <t>Cannaboom Red Boom Fullcream 1250ml</t>
  </si>
  <si>
    <t xml:space="preserve">FER-01001  </t>
  </si>
  <si>
    <t>Formulex 1L Ionic</t>
  </si>
  <si>
    <t xml:space="preserve">FER-01002  </t>
  </si>
  <si>
    <t>Liquid Oxigen 1L Ionic</t>
  </si>
  <si>
    <t xml:space="preserve">FER-01006  </t>
  </si>
  <si>
    <t>Liquid Silicon 1L Ionic</t>
  </si>
  <si>
    <t xml:space="preserve">FER-01024  </t>
  </si>
  <si>
    <t>Alfa Boost 1L</t>
  </si>
  <si>
    <t xml:space="preserve">FER-050009 </t>
  </si>
  <si>
    <t>Formulex 5L Ionic</t>
  </si>
  <si>
    <t xml:space="preserve">FER-50002  </t>
  </si>
  <si>
    <t>Liquid Oxigen 5L Ionic</t>
  </si>
  <si>
    <t xml:space="preserve">FER-50004  </t>
  </si>
  <si>
    <t>Liquid Silicon 5L Ionic</t>
  </si>
  <si>
    <t xml:space="preserve">FER-60034  </t>
  </si>
  <si>
    <t>Clonex Mist 5L</t>
  </si>
  <si>
    <t xml:space="preserve">FER-60035  </t>
  </si>
  <si>
    <t>Esmerald Harvest Honey Chome 3.79L</t>
  </si>
  <si>
    <t xml:space="preserve">FER-60036  </t>
  </si>
  <si>
    <t>Esmerald Harvest King Kola 3.79L</t>
  </si>
  <si>
    <t xml:space="preserve">FGH-01007  </t>
  </si>
  <si>
    <t>GH Powder Feeding Bio Enhancer 1Kg</t>
  </si>
  <si>
    <t xml:space="preserve">FGH-25004  </t>
  </si>
  <si>
    <t>GH Powder Feeding Bio Grow 2,5kg</t>
  </si>
  <si>
    <t xml:space="preserve">FGH-25005  </t>
  </si>
  <si>
    <t>GH Powder Feeding Bio Bloom 2,5kg</t>
  </si>
  <si>
    <t xml:space="preserve">FH-01001   </t>
  </si>
  <si>
    <t>Brutal Buds 1kg</t>
  </si>
  <si>
    <t xml:space="preserve">FH-03501   </t>
  </si>
  <si>
    <t>Brutal Buds 3.5kg</t>
  </si>
  <si>
    <t xml:space="preserve">FIL-0341   </t>
  </si>
  <si>
    <t>Filtro Carbon CAN-Lite (S) 150/425 (425m3)</t>
  </si>
  <si>
    <t xml:space="preserve">FIL-1104   </t>
  </si>
  <si>
    <t>Filtro Carbon CAN BFT 150 Boca 250 (2100-2400m3/h)</t>
  </si>
  <si>
    <t xml:space="preserve">FIL-1318   </t>
  </si>
  <si>
    <t>Filtro Carbon Can lite Plastico 150 m3</t>
  </si>
  <si>
    <t xml:space="preserve">FIL-1320   </t>
  </si>
  <si>
    <t>Filtro Carbon CAN-Lite 150/600 (600m3)</t>
  </si>
  <si>
    <t xml:space="preserve">FIL-1321   </t>
  </si>
  <si>
    <t>Filtro Carbon CAN-Lite 200/800 (800m3)</t>
  </si>
  <si>
    <t xml:space="preserve">FIL-1322   </t>
  </si>
  <si>
    <t>Filtro Carbon CAN-Lite 250/2500 (2500m3)</t>
  </si>
  <si>
    <t xml:space="preserve">FIL-1323   </t>
  </si>
  <si>
    <t>Filtro Carbon CAN-Lite 100-125/425 (425m3)</t>
  </si>
  <si>
    <t xml:space="preserve">FIL-1323A  </t>
  </si>
  <si>
    <t>Filtro Carbon CAN-Lite 100-125/425 - Boca 100</t>
  </si>
  <si>
    <t xml:space="preserve">FIL-1325   </t>
  </si>
  <si>
    <t>Filtro Carbon CAN-Lite 315/3500 (3500m3)</t>
  </si>
  <si>
    <t xml:space="preserve">FIL-1326   </t>
  </si>
  <si>
    <t>Filtro Carbon CAN-Lite 250/1500 (1500m3)</t>
  </si>
  <si>
    <t xml:space="preserve">FIL-1327   </t>
  </si>
  <si>
    <t>Filtro Carbon CAN-Lite 200/2000 (2000m3)</t>
  </si>
  <si>
    <t xml:space="preserve">FIL-1328   </t>
  </si>
  <si>
    <t>Filtro Carbon CAN-Lite 250/3000 (3000m3)</t>
  </si>
  <si>
    <t xml:space="preserve">FIL-1329   </t>
  </si>
  <si>
    <t>Filtro Carbon CAN-Lite 200/1000 (1000m3)</t>
  </si>
  <si>
    <t xml:space="preserve">FIL-1330   </t>
  </si>
  <si>
    <t>Filtro Carbon CAN-Lite 250/2000 (2000 m3)</t>
  </si>
  <si>
    <t xml:space="preserve">FIL-1331   </t>
  </si>
  <si>
    <t>Filtro Carbon CAN-Lite 315/3000 (3000 m3)</t>
  </si>
  <si>
    <t xml:space="preserve">FIL-1332   </t>
  </si>
  <si>
    <t>Filtro Carbon Can In-Line 200/1500 (1500 m3)</t>
  </si>
  <si>
    <t xml:space="preserve">FIL-1332A  </t>
  </si>
  <si>
    <t>Filtro Carbon Can In-Line 250/1500 (1500 m3)</t>
  </si>
  <si>
    <t xml:space="preserve">FIL-1333   </t>
  </si>
  <si>
    <t>Filtro Carbon Can In-Line 250/2500 (2500 m3)</t>
  </si>
  <si>
    <t xml:space="preserve">FIL-1334   </t>
  </si>
  <si>
    <t>Filtro Carbon Can In-Line 315/3000 (3000 m3)</t>
  </si>
  <si>
    <t xml:space="preserve">FIL-1335   </t>
  </si>
  <si>
    <t>Filtro Carbon CAN-Lite 200/2500 (2500m3)</t>
  </si>
  <si>
    <t xml:space="preserve">FIL-1337   </t>
  </si>
  <si>
    <t>Filtro Carbon CAN-Lite 315/4500 (4500 m3)</t>
  </si>
  <si>
    <t xml:space="preserve">FIL-1340   </t>
  </si>
  <si>
    <t>Filtro Carbon CAN-Lite 150/800 (800m3)</t>
  </si>
  <si>
    <t xml:space="preserve">FIL-1341   </t>
  </si>
  <si>
    <t>Filtro Carbon CAN-Lite 100-125/300 (300m3)</t>
  </si>
  <si>
    <t xml:space="preserve">FIL-9021   </t>
  </si>
  <si>
    <t>Prefiltro Carbon CAN-Lite 2000m3</t>
  </si>
  <si>
    <t xml:space="preserve">FIL-9022   </t>
  </si>
  <si>
    <t>Prefiltro Carbon CAN-Lite 2500m3</t>
  </si>
  <si>
    <t xml:space="preserve">FIL-9026   </t>
  </si>
  <si>
    <t>Prefiltro Carbon CAN-Lite 4500m3</t>
  </si>
  <si>
    <t xml:space="preserve">FIL-9052   </t>
  </si>
  <si>
    <t>Filtro Carbon Pure Factory 100/250 ( 160m3/h)</t>
  </si>
  <si>
    <t xml:space="preserve">FIL-9053   </t>
  </si>
  <si>
    <t>Clivex Filtro de Carbon 200/1000 ( 1050m3)</t>
  </si>
  <si>
    <t xml:space="preserve">FIL-9054   </t>
  </si>
  <si>
    <t>Clivex Filtro de Carbon 250/2500 ( 2750m3)</t>
  </si>
  <si>
    <t xml:space="preserve">FIL-9055   </t>
  </si>
  <si>
    <t>Clivex Filtro de Carbon 200/1500 ( 1650m3)</t>
  </si>
  <si>
    <t xml:space="preserve">FIL-9056   </t>
  </si>
  <si>
    <t>Clivex Filtro de Carbon 315/3000 ( 3300m3)</t>
  </si>
  <si>
    <t xml:space="preserve">FWER-00003 </t>
  </si>
  <si>
    <t>Flower Tierra de Diatomeas 2Kg</t>
  </si>
  <si>
    <t xml:space="preserve">FXL-01002  </t>
  </si>
  <si>
    <t>Pro XL Flora Exploder 1L</t>
  </si>
  <si>
    <t xml:space="preserve">FXL-01003  </t>
  </si>
  <si>
    <t>Pro XL Quick Boost 1L</t>
  </si>
  <si>
    <t xml:space="preserve">FXL-01004  </t>
  </si>
  <si>
    <t>Pro XL Explosive bloom 1 Kg</t>
  </si>
  <si>
    <t xml:space="preserve">FXL-02001  </t>
  </si>
  <si>
    <t>Pro XL Explosive Bloom 250gr</t>
  </si>
  <si>
    <t xml:space="preserve">FXL-03001  </t>
  </si>
  <si>
    <t>Pro XL Stop Grow 30ml</t>
  </si>
  <si>
    <t xml:space="preserve">FXL-05002  </t>
  </si>
  <si>
    <t>Pro XL Flora Exploder 5L</t>
  </si>
  <si>
    <t xml:space="preserve">FXL-05004  </t>
  </si>
  <si>
    <t>Pro Xl Grow A+B 20L</t>
  </si>
  <si>
    <t xml:space="preserve">FXL-10001  </t>
  </si>
  <si>
    <t>Pro XL Grow A+B 10L</t>
  </si>
  <si>
    <t xml:space="preserve">FXL-10002  </t>
  </si>
  <si>
    <t>Pro XL Bloom A+B 10L</t>
  </si>
  <si>
    <t xml:space="preserve">FXL-10026  </t>
  </si>
  <si>
    <t>Pro XL Bloom XXL 10L</t>
  </si>
  <si>
    <t xml:space="preserve">FXL-10029  </t>
  </si>
  <si>
    <t xml:space="preserve">FXL-20002  </t>
  </si>
  <si>
    <t>Pro XL Bloom A+B 20L</t>
  </si>
  <si>
    <t xml:space="preserve">FXL-50002  </t>
  </si>
  <si>
    <t>Pro XL Pro Led 5L</t>
  </si>
  <si>
    <t xml:space="preserve">FZ-0002    </t>
  </si>
  <si>
    <t>Bio Bizz Bio PH - 1L</t>
  </si>
  <si>
    <t xml:space="preserve">FZ-0003    </t>
  </si>
  <si>
    <t>Bio Bizz PH + regulator 1L</t>
  </si>
  <si>
    <t xml:space="preserve">FZ-0006    </t>
  </si>
  <si>
    <t>Bio Bizz Try Pack Indoor</t>
  </si>
  <si>
    <t xml:space="preserve">FZ-01001   </t>
  </si>
  <si>
    <t>Bio Bizz Bio Bloom 1L</t>
  </si>
  <si>
    <t xml:space="preserve">FZ-01002   </t>
  </si>
  <si>
    <t>Bio Bizz Bio Grow 1L</t>
  </si>
  <si>
    <t xml:space="preserve">FZ-01003   </t>
  </si>
  <si>
    <t>Bio Bizz Alga Mic 1L</t>
  </si>
  <si>
    <t xml:space="preserve">FZ-01004   </t>
  </si>
  <si>
    <t>Bio Bizz Top Max 1L</t>
  </si>
  <si>
    <t xml:space="preserve">FZ-01005   </t>
  </si>
  <si>
    <t>Bio Bizz Fish Mix 1L</t>
  </si>
  <si>
    <t xml:space="preserve">FZ-01006   </t>
  </si>
  <si>
    <t>Bio Bizz Bioheaven 1L</t>
  </si>
  <si>
    <t xml:space="preserve">FZ-05001   </t>
  </si>
  <si>
    <t>Bio Bizz Bio Bloom 5L</t>
  </si>
  <si>
    <t xml:space="preserve">FZ-05002   </t>
  </si>
  <si>
    <t>Bio Bizz Bio Grow 5L</t>
  </si>
  <si>
    <t xml:space="preserve">FZ-05005   </t>
  </si>
  <si>
    <t>Bio Bizz Fish Mix 5L</t>
  </si>
  <si>
    <t xml:space="preserve">FZ-10001   </t>
  </si>
  <si>
    <t>Bio Bizz Bio Grow 10L</t>
  </si>
  <si>
    <t xml:space="preserve">FZ-10002   </t>
  </si>
  <si>
    <t>Bio Bizz Bio Bloom 10L</t>
  </si>
  <si>
    <t xml:space="preserve">FZ-40001   </t>
  </si>
  <si>
    <t>Bio Bizz Humus de Lombriz 40L</t>
  </si>
  <si>
    <t xml:space="preserve">FZ-50001   </t>
  </si>
  <si>
    <t>Bio Bizz Light Mix 50L</t>
  </si>
  <si>
    <t xml:space="preserve">FZ-50002   </t>
  </si>
  <si>
    <t>Bio Bizz All Mix 50L</t>
  </si>
  <si>
    <t xml:space="preserve">FZ-50004   </t>
  </si>
  <si>
    <t>Bio Bizz Worm Humus 40L</t>
  </si>
  <si>
    <t xml:space="preserve">FZ-50005   </t>
  </si>
  <si>
    <t>Bio Bizz Bio Ph- 500ml</t>
  </si>
  <si>
    <t xml:space="preserve">GESTION    </t>
  </si>
  <si>
    <t xml:space="preserve">GHE-00001  </t>
  </si>
  <si>
    <t>GHE PH Test Kit 30ml</t>
  </si>
  <si>
    <t xml:space="preserve">GHE-00302  </t>
  </si>
  <si>
    <t>GHE Bio Bloom 30ml</t>
  </si>
  <si>
    <t xml:space="preserve">GHE-01025  </t>
  </si>
  <si>
    <t>GHE Oligo Spectrum  1L</t>
  </si>
  <si>
    <t xml:space="preserve">GHE-05005  </t>
  </si>
  <si>
    <t>GHE Ph - 500ml</t>
  </si>
  <si>
    <t xml:space="preserve">GHE-10002  </t>
  </si>
  <si>
    <t>Tripart Bloom 1L Terra Aquatica</t>
  </si>
  <si>
    <t xml:space="preserve">GHE-10005  </t>
  </si>
  <si>
    <t>GHE Ph - 1L</t>
  </si>
  <si>
    <t xml:space="preserve">GHE-10006  </t>
  </si>
  <si>
    <t>Tripart Micro 1L Agua Dura Terra Aquatica</t>
  </si>
  <si>
    <t xml:space="preserve">GHE-50001  </t>
  </si>
  <si>
    <t>GHE Oligo Spectrum  5L</t>
  </si>
  <si>
    <t xml:space="preserve">GHE-50002  </t>
  </si>
  <si>
    <t>Tripart Grow 5L Terra Aquatica</t>
  </si>
  <si>
    <t xml:space="preserve">GHE-50003  </t>
  </si>
  <si>
    <t>Tripart Bloom 5L Terra Aquatica</t>
  </si>
  <si>
    <t xml:space="preserve">GHE-50005  </t>
  </si>
  <si>
    <t>Final part 1L Terra Aquatica</t>
  </si>
  <si>
    <t xml:space="preserve">GHE-50007  </t>
  </si>
  <si>
    <t>Tripart Micro Agua Blanda 5L Terra Aquatica</t>
  </si>
  <si>
    <t xml:space="preserve">GHE-50011  </t>
  </si>
  <si>
    <t>FlashClean 5L Terra Aquatica</t>
  </si>
  <si>
    <t xml:space="preserve">GHE-70005  </t>
  </si>
  <si>
    <t>Tripart Bloom 10L Terra Aquatica</t>
  </si>
  <si>
    <t xml:space="preserve">GHE-70006  </t>
  </si>
  <si>
    <t>GHE FloraMicro Agua Dura 10L</t>
  </si>
  <si>
    <t xml:space="preserve">GHE-70007  </t>
  </si>
  <si>
    <t>Tripart Grow 10L Terra Aquatica</t>
  </si>
  <si>
    <t xml:space="preserve">GHE-70008  </t>
  </si>
  <si>
    <t>Tripart Micro Agua Blanda 10L Terra Aquatica</t>
  </si>
  <si>
    <t xml:space="preserve">GHE-70013  </t>
  </si>
  <si>
    <t>GHE Oligo Spectrum 10L</t>
  </si>
  <si>
    <t xml:space="preserve">GHS-01206  </t>
  </si>
  <si>
    <t>White widow 1 fem</t>
  </si>
  <si>
    <t xml:space="preserve">GHS-03002  </t>
  </si>
  <si>
    <t>White Rhino 3 fem</t>
  </si>
  <si>
    <t xml:space="preserve">GHS-03003  </t>
  </si>
  <si>
    <t>Great White Shark 3 fem</t>
  </si>
  <si>
    <t xml:space="preserve">GHS-03006  </t>
  </si>
  <si>
    <t>Hawaiian Snow 3 fem</t>
  </si>
  <si>
    <t xml:space="preserve">GHS-03024  </t>
  </si>
  <si>
    <t>Exodus Cheese 3 fem</t>
  </si>
  <si>
    <t xml:space="preserve">GHS-03027  </t>
  </si>
  <si>
    <t>Neville's Haze 3 fem</t>
  </si>
  <si>
    <t xml:space="preserve">GHS-03098  </t>
  </si>
  <si>
    <t>Franco's Lemon Cheese 3 fem</t>
  </si>
  <si>
    <t xml:space="preserve">GHS-05256  </t>
  </si>
  <si>
    <t>Super Critical 5 fem</t>
  </si>
  <si>
    <t xml:space="preserve">GHS-10206  </t>
  </si>
  <si>
    <t>White Widow 10 fem</t>
  </si>
  <si>
    <t xml:space="preserve">GHS-10222  </t>
  </si>
  <si>
    <t>Super Silver Haze 10 fem</t>
  </si>
  <si>
    <t xml:space="preserve">GL-00001   </t>
  </si>
  <si>
    <t>Gold Label Hydro Coco RHP 60/40 45L</t>
  </si>
  <si>
    <t xml:space="preserve">GRSC-0001  </t>
  </si>
  <si>
    <t>Scorpion Green 1 L</t>
  </si>
  <si>
    <t xml:space="preserve">GRSC-0002  </t>
  </si>
  <si>
    <t>Scorpion Red 1 L</t>
  </si>
  <si>
    <t xml:space="preserve">GRSC-0003  </t>
  </si>
  <si>
    <t>Scorpion Green 5 L</t>
  </si>
  <si>
    <t xml:space="preserve">GRSC-0004  </t>
  </si>
  <si>
    <t>Scorpion Red 5 L</t>
  </si>
  <si>
    <t xml:space="preserve">GRTK-00101 </t>
  </si>
  <si>
    <t>Grotek Blossom Blaster 130gr</t>
  </si>
  <si>
    <t xml:space="preserve">GRTK-00102 </t>
  </si>
  <si>
    <t>Grotek Monster Bloom 130gr</t>
  </si>
  <si>
    <t xml:space="preserve">GRTK-00103 </t>
  </si>
  <si>
    <t>Grotek Monster Grow Pro 130gr</t>
  </si>
  <si>
    <t xml:space="preserve">GRTK-00302 </t>
  </si>
  <si>
    <t>Grotek Growth Booster 300gr</t>
  </si>
  <si>
    <t xml:space="preserve">GRTK-00305 </t>
  </si>
  <si>
    <t>Grotek Carbo Max 300gr</t>
  </si>
  <si>
    <t xml:space="preserve">GRTK-00501 </t>
  </si>
  <si>
    <t>Grotek Monster Bloom 500gr</t>
  </si>
  <si>
    <t xml:space="preserve">GRTK-00502 </t>
  </si>
  <si>
    <t>Grotek Monster Grow Pro 500gr</t>
  </si>
  <si>
    <t xml:space="preserve">GRTK-00504 </t>
  </si>
  <si>
    <t>Grotek Blossom Blaster 500gr</t>
  </si>
  <si>
    <t xml:space="preserve">GRTK-00700 </t>
  </si>
  <si>
    <t>Grotek Carbo Max 700gr</t>
  </si>
  <si>
    <t xml:space="preserve">GRTK-00702 </t>
  </si>
  <si>
    <t>Grotek Carbo Max 2.5 KG</t>
  </si>
  <si>
    <t xml:space="preserve">GRTK-01001 </t>
  </si>
  <si>
    <t>Grotek Solo-Tek Bloom 1L</t>
  </si>
  <si>
    <t xml:space="preserve">GRTK-01002 </t>
  </si>
  <si>
    <t>Grotek Solo-Tek Grow 1L</t>
  </si>
  <si>
    <t xml:space="preserve">GRTK-01003 </t>
  </si>
  <si>
    <t>Grotek Heavy Bud Pro 1L</t>
  </si>
  <si>
    <t xml:space="preserve">GRTK-01011 </t>
  </si>
  <si>
    <t>Grotek Cal Max 1L</t>
  </si>
  <si>
    <t xml:space="preserve">GRTK-01019 </t>
  </si>
  <si>
    <t>Grotek Bud Fuel Pro 1L</t>
  </si>
  <si>
    <t xml:space="preserve">GRTK-02001 </t>
  </si>
  <si>
    <t>Grotek Monster Bloom 2,5kg</t>
  </si>
  <si>
    <t xml:space="preserve">GRTK-04001 </t>
  </si>
  <si>
    <t>Grotek Solo-Tek Bloom 4L</t>
  </si>
  <si>
    <t xml:space="preserve">GRTK-04002 </t>
  </si>
  <si>
    <t>Grotek Solo-Tek Grow 4L</t>
  </si>
  <si>
    <t xml:space="preserve">GRTK-04003 </t>
  </si>
  <si>
    <t>Grotek Heavy Bud Pro 4L</t>
  </si>
  <si>
    <t xml:space="preserve">GRTK-04005 </t>
  </si>
  <si>
    <t>Grotek Vitamax Plus 4L</t>
  </si>
  <si>
    <t xml:space="preserve">GRTK-04007 </t>
  </si>
  <si>
    <t>Grotek Pro Silicate 4L</t>
  </si>
  <si>
    <t xml:space="preserve">GRTK-04008 </t>
  </si>
  <si>
    <t>Grotek Insta Green 4L</t>
  </si>
  <si>
    <t xml:space="preserve">GRTK-04009 </t>
  </si>
  <si>
    <t>Grotek Cal Max 4L</t>
  </si>
  <si>
    <t xml:space="preserve">GRTK-04013 </t>
  </si>
  <si>
    <t>Grotek Bud Fuel Pro 4L</t>
  </si>
  <si>
    <t xml:space="preserve">GRTK-04014 </t>
  </si>
  <si>
    <t>Grotek Vitamax Pro 4L</t>
  </si>
  <si>
    <t xml:space="preserve">GRTK-04015 </t>
  </si>
  <si>
    <t>Grotek Blossom Blaster Pro 4L</t>
  </si>
  <si>
    <t xml:space="preserve">GRTK-04016 </t>
  </si>
  <si>
    <t xml:space="preserve">GRTK-05001 </t>
  </si>
  <si>
    <t>Grotek Monster Bloom 5kg</t>
  </si>
  <si>
    <t xml:space="preserve">GRTK-10002 </t>
  </si>
  <si>
    <t>Grotek Heavy Bud Pro 10L</t>
  </si>
  <si>
    <t xml:space="preserve">GRTK-10004 </t>
  </si>
  <si>
    <t>Grotek Vitamax Plus 10L</t>
  </si>
  <si>
    <t xml:space="preserve">GRTK-10005 </t>
  </si>
  <si>
    <t>Grotek Cal Max 10L</t>
  </si>
  <si>
    <t xml:space="preserve">GRTK-10006 </t>
  </si>
  <si>
    <t>Grotek Pro Silicate 10L</t>
  </si>
  <si>
    <t xml:space="preserve">GRTK-10007 </t>
  </si>
  <si>
    <t>Grotek Bud Fuel Pro 10L</t>
  </si>
  <si>
    <t xml:space="preserve">GTK-0501   </t>
  </si>
  <si>
    <t>Kritikal Bilbo 5 fem</t>
  </si>
  <si>
    <t xml:space="preserve">GTK-2501   </t>
  </si>
  <si>
    <t>Kritikal Bilbo 25 fem</t>
  </si>
  <si>
    <t xml:space="preserve">H&amp;G-00103  </t>
  </si>
  <si>
    <t>Shooting Powder H&amp;G 65gr (20u)</t>
  </si>
  <si>
    <t xml:space="preserve">H&amp;G-00204  </t>
  </si>
  <si>
    <t>Roots Excelurator 1L H&amp;G</t>
  </si>
  <si>
    <t xml:space="preserve">H&amp;G-01003  </t>
  </si>
  <si>
    <t>Top Booster 1L H&amp;G</t>
  </si>
  <si>
    <t xml:space="preserve">HES-00051  </t>
  </si>
  <si>
    <t>Hesi Super Vit 50ml</t>
  </si>
  <si>
    <t xml:space="preserve">HES-00101  </t>
  </si>
  <si>
    <t>Hesi Super Vit 100ml</t>
  </si>
  <si>
    <t xml:space="preserve">HES-00501  </t>
  </si>
  <si>
    <t>Hesi TNT Complex Crecimiento 500ml</t>
  </si>
  <si>
    <t xml:space="preserve">HES-00506  </t>
  </si>
  <si>
    <t>Hesi Super Vit 500ml</t>
  </si>
  <si>
    <t xml:space="preserve">HES-01002  </t>
  </si>
  <si>
    <t>Hesi TNT Complex Crecimiento 1L</t>
  </si>
  <si>
    <t xml:space="preserve">HES-01003  </t>
  </si>
  <si>
    <t>Hesi Complejo Radicular 1L</t>
  </si>
  <si>
    <t xml:space="preserve">HES-01013  </t>
  </si>
  <si>
    <t>Hesi Boost 1L</t>
  </si>
  <si>
    <t xml:space="preserve">HES-05001  </t>
  </si>
  <si>
    <t>Hesi Complejo Floración 5L</t>
  </si>
  <si>
    <t xml:space="preserve">HES-05002  </t>
  </si>
  <si>
    <t>Hesi TNT Complex Crecimiento 5L</t>
  </si>
  <si>
    <t xml:space="preserve">HES-05003  </t>
  </si>
  <si>
    <t>Hesi Complejo Radicular 5L</t>
  </si>
  <si>
    <t xml:space="preserve">HES-05004  </t>
  </si>
  <si>
    <t>Hesi PK 13-14 5L</t>
  </si>
  <si>
    <t xml:space="preserve">HES-05005  </t>
  </si>
  <si>
    <t>Hesi Power Zyme 5L</t>
  </si>
  <si>
    <t xml:space="preserve">HES-05006  </t>
  </si>
  <si>
    <t>Hesi Fosforo Plus 5L</t>
  </si>
  <si>
    <t xml:space="preserve">HES-05009  </t>
  </si>
  <si>
    <t>Hesi Coco 5L</t>
  </si>
  <si>
    <t xml:space="preserve">HES-05010  </t>
  </si>
  <si>
    <t>Hesi Boost 5L</t>
  </si>
  <si>
    <t xml:space="preserve">HES-10001  </t>
  </si>
  <si>
    <t>Hesi Complejo Floración 10L</t>
  </si>
  <si>
    <t xml:space="preserve">HES-10003  </t>
  </si>
  <si>
    <t>Hesi TNT Complex Crecimiento 10L</t>
  </si>
  <si>
    <t xml:space="preserve">HES-10004  </t>
  </si>
  <si>
    <t>Hesi Complejo Radicular 10L</t>
  </si>
  <si>
    <t xml:space="preserve">HES-10006  </t>
  </si>
  <si>
    <t>Hesi Power Zyme 10L</t>
  </si>
  <si>
    <t xml:space="preserve">HES-10007  </t>
  </si>
  <si>
    <t>Hesi Hydro Floración 10L</t>
  </si>
  <si>
    <t xml:space="preserve">HES-10009  </t>
  </si>
  <si>
    <t>Hesi Coco 10L</t>
  </si>
  <si>
    <t xml:space="preserve">HES-10010  </t>
  </si>
  <si>
    <t>Hesi Boost 10L</t>
  </si>
  <si>
    <t xml:space="preserve">HYP-01002  </t>
  </si>
  <si>
    <t>Hy Pro Spray Mix 1L</t>
  </si>
  <si>
    <t xml:space="preserve">HYP-20001  </t>
  </si>
  <si>
    <t>Hy Pro Terra 20L</t>
  </si>
  <si>
    <t xml:space="preserve">HYP-20009  </t>
  </si>
  <si>
    <t>Hy Pro Coco A+B 20L</t>
  </si>
  <si>
    <t xml:space="preserve">HYPE-00251 </t>
  </si>
  <si>
    <t>Hype Raziel 200Gr</t>
  </si>
  <si>
    <t xml:space="preserve">HYPE-00505 </t>
  </si>
  <si>
    <t>Hype Mygal 500ml</t>
  </si>
  <si>
    <t xml:space="preserve">HYPE-01002 </t>
  </si>
  <si>
    <t>Hype Raziel 1Kg</t>
  </si>
  <si>
    <t xml:space="preserve">HYPE-01510 </t>
  </si>
  <si>
    <t>Hype Metraton 1,25L</t>
  </si>
  <si>
    <t xml:space="preserve">HYPE-01513 </t>
  </si>
  <si>
    <t>Hype Samax 1,25L</t>
  </si>
  <si>
    <t xml:space="preserve">HYPE-05000 </t>
  </si>
  <si>
    <t>Hype Arkhas 5L</t>
  </si>
  <si>
    <t xml:space="preserve">HYPE-05009 </t>
  </si>
  <si>
    <t>Hype Metraton 5L</t>
  </si>
  <si>
    <t xml:space="preserve">HYPE-05011 </t>
  </si>
  <si>
    <t>Hype Romiel 5L</t>
  </si>
  <si>
    <t xml:space="preserve">HYPE-05012 </t>
  </si>
  <si>
    <t>Hype Camael 5L</t>
  </si>
  <si>
    <t xml:space="preserve">HYPE-05018 </t>
  </si>
  <si>
    <t>Hype High-Bloom 5L</t>
  </si>
  <si>
    <t xml:space="preserve">HYPE-20007 </t>
  </si>
  <si>
    <t>Hype Mygal 1.25L</t>
  </si>
  <si>
    <t xml:space="preserve">IL-0009B   </t>
  </si>
  <si>
    <t>Philips 1000w Double Ended HPS +Coste ECO</t>
  </si>
  <si>
    <t xml:space="preserve">IL-0022    </t>
  </si>
  <si>
    <t>Sylvania 600w SHP-TS +Coste ECO</t>
  </si>
  <si>
    <t xml:space="preserve">IL-0024    </t>
  </si>
  <si>
    <t>Sylvania 600w Grolux +Coste ECO</t>
  </si>
  <si>
    <t xml:space="preserve">IL-002592  </t>
  </si>
  <si>
    <t>Eco Taxa</t>
  </si>
  <si>
    <t xml:space="preserve">IL-0027    </t>
  </si>
  <si>
    <t>Sylvania 250w Grolux +Coste ECO</t>
  </si>
  <si>
    <t xml:space="preserve">IL-0078    </t>
  </si>
  <si>
    <t>Pure Light Green Led 3.5w (Pure Factory)</t>
  </si>
  <si>
    <t xml:space="preserve">IL-0083    </t>
  </si>
  <si>
    <t>Pure Light 600w HPS Grow-Bloom +Coste ECO</t>
  </si>
  <si>
    <t xml:space="preserve">IL-0101    </t>
  </si>
  <si>
    <t>Reflector Classic Estuco</t>
  </si>
  <si>
    <t xml:space="preserve">IL-0123    </t>
  </si>
  <si>
    <t>Reflector Adjust A Wings Enforcer Medium</t>
  </si>
  <si>
    <t xml:space="preserve">IL-0147B   </t>
  </si>
  <si>
    <t>LUMii Black LED 720w, 6 Bar Fixture + Balastro Lumii Black</t>
  </si>
  <si>
    <t xml:space="preserve">IL-0295E   </t>
  </si>
  <si>
    <t>Balastro Electronico LUMii BLACK 600w regulable</t>
  </si>
  <si>
    <t xml:space="preserve">IL-0302    </t>
  </si>
  <si>
    <t>Poleas Progrip LIGHT (plástico) pareja</t>
  </si>
  <si>
    <t xml:space="preserve">IL-0327    </t>
  </si>
  <si>
    <t>Luminaria The Eagle 1000w Regulable</t>
  </si>
  <si>
    <t xml:space="preserve">IL-0349    </t>
  </si>
  <si>
    <t>Luminaria The Jackson 150w LT</t>
  </si>
  <si>
    <t xml:space="preserve">IL-0359    </t>
  </si>
  <si>
    <t>Sistema Led Attis PRO Lumatek 200W</t>
  </si>
  <si>
    <t xml:space="preserve">IL-0362    </t>
  </si>
  <si>
    <t>Luminaria The Jackson 250w Nemesis</t>
  </si>
  <si>
    <t xml:space="preserve">IL-0402    </t>
  </si>
  <si>
    <t>Cable 1.5m + enchufe inyectado</t>
  </si>
  <si>
    <t xml:space="preserve">IL-0407    </t>
  </si>
  <si>
    <t>Cable 2m Trip Macho</t>
  </si>
  <si>
    <t xml:space="preserve">IL-0413    </t>
  </si>
  <si>
    <t>Bombilla MJ3 1000w sodio double ended</t>
  </si>
  <si>
    <t xml:space="preserve">IL-0425    </t>
  </si>
  <si>
    <t>Cable Control Daisy Zeus 5 m</t>
  </si>
  <si>
    <t xml:space="preserve">IL-2305    </t>
  </si>
  <si>
    <t>Bombilla Newlite Flex HPS 1000w dobled ended</t>
  </si>
  <si>
    <t xml:space="preserve">IL-2309    </t>
  </si>
  <si>
    <t>Kit Newlite Adjust 3.0 HPS 1000w</t>
  </si>
  <si>
    <t xml:space="preserve">IL-2311    </t>
  </si>
  <si>
    <t>Newlite Controlador EXT TS1</t>
  </si>
  <si>
    <t xml:space="preserve">IL-2312    </t>
  </si>
  <si>
    <t xml:space="preserve">IL-2374I   </t>
  </si>
  <si>
    <t xml:space="preserve">IL-2378    </t>
  </si>
  <si>
    <t>Lumatek Control Panel Plus</t>
  </si>
  <si>
    <t xml:space="preserve">IL-2392    </t>
  </si>
  <si>
    <t>Sistema Led Zeus Pro 465W 2.9 Lumatek</t>
  </si>
  <si>
    <t xml:space="preserve">IL-2502    </t>
  </si>
  <si>
    <t>Vanguard Led Cosmos 120w</t>
  </si>
  <si>
    <t xml:space="preserve">IL-3261    </t>
  </si>
  <si>
    <t>U-Grow Barra Led 1,20cm 36W</t>
  </si>
  <si>
    <t xml:space="preserve">IL-3264    </t>
  </si>
  <si>
    <t>Galaxy LED 630W PRO 1800e Solux</t>
  </si>
  <si>
    <t xml:space="preserve">IL-3267    </t>
  </si>
  <si>
    <t>U-Grow Led Full Spect HRT630 F Spyder 1 Canal</t>
  </si>
  <si>
    <t xml:space="preserve">IL-9000    </t>
  </si>
  <si>
    <t>Linterna Green Eye Unicorn (frontal)</t>
  </si>
  <si>
    <t xml:space="preserve">IL-9016    </t>
  </si>
  <si>
    <t>Balastro Electronico Wattium 600w</t>
  </si>
  <si>
    <t xml:space="preserve">IL-9019    </t>
  </si>
  <si>
    <t>Luminaria MJ3 1000w con bombilla</t>
  </si>
  <si>
    <t xml:space="preserve">IL-9031    </t>
  </si>
  <si>
    <t>Lumatek Cable de alimentacion Led</t>
  </si>
  <si>
    <t xml:space="preserve">IL-9036    </t>
  </si>
  <si>
    <t>U-Grow Led Full Spect Spider 1000w 8 Barras</t>
  </si>
  <si>
    <t xml:space="preserve">IL-9058    </t>
  </si>
  <si>
    <t>Poleas de sujecion Pure Lifter (2ud)</t>
  </si>
  <si>
    <t xml:space="preserve">IL-9061    </t>
  </si>
  <si>
    <t>Luminaria The Cobra tira Led 14w/m full spectrum 5m</t>
  </si>
  <si>
    <t xml:space="preserve">IL-9064    </t>
  </si>
  <si>
    <t>Polea Rope Ratchet Neptune</t>
  </si>
  <si>
    <t xml:space="preserve">IL-9065    </t>
  </si>
  <si>
    <t>Luminaria Lazerlite Complete Led 720w</t>
  </si>
  <si>
    <t xml:space="preserve">IL-9066    </t>
  </si>
  <si>
    <t>Luminaria Lazerlite Pro Led 720w</t>
  </si>
  <si>
    <t xml:space="preserve">IL-9067    </t>
  </si>
  <si>
    <t>Bombilla Lec 315W 3.100K</t>
  </si>
  <si>
    <t xml:space="preserve">IL-9068    </t>
  </si>
  <si>
    <t>Cable Newlite Control Signal 1.5m RJ14</t>
  </si>
  <si>
    <t xml:space="preserve">IL-9069    </t>
  </si>
  <si>
    <t>U-Grow Controlador Led Grow Light</t>
  </si>
  <si>
    <t xml:space="preserve">IL-9070    </t>
  </si>
  <si>
    <t>Reflector Adjust A Wings Defender Medium</t>
  </si>
  <si>
    <t xml:space="preserve">IL-9071    </t>
  </si>
  <si>
    <t xml:space="preserve">IL-9072    </t>
  </si>
  <si>
    <t xml:space="preserve">IL-9074    </t>
  </si>
  <si>
    <t xml:space="preserve">IL-9075    </t>
  </si>
  <si>
    <t xml:space="preserve">IL-9076    </t>
  </si>
  <si>
    <t xml:space="preserve">IL-9077    </t>
  </si>
  <si>
    <t xml:space="preserve">IL-9078    </t>
  </si>
  <si>
    <t xml:space="preserve">IL-9079    </t>
  </si>
  <si>
    <t xml:space="preserve">IL-9080    </t>
  </si>
  <si>
    <t xml:space="preserve">IL-9999    </t>
  </si>
  <si>
    <t>Coste Eco</t>
  </si>
  <si>
    <t xml:space="preserve">KIT-005    </t>
  </si>
  <si>
    <t xml:space="preserve">KIT-006    </t>
  </si>
  <si>
    <t xml:space="preserve">MAC-00201  </t>
  </si>
  <si>
    <t>Flexapot Maceta Textil Gris 56,8L (15 Gal)</t>
  </si>
  <si>
    <t xml:space="preserve">MAC-00217  </t>
  </si>
  <si>
    <t>Pure Pot Maceta Textil 1gal (3.8L)</t>
  </si>
  <si>
    <t xml:space="preserve">MAC-00218  </t>
  </si>
  <si>
    <t>Pure Pot Maceta Textil 3gal (11.4L)</t>
  </si>
  <si>
    <t xml:space="preserve">MAC-00219  </t>
  </si>
  <si>
    <t>Pure Pot Maceta Textil 5gal (19L)</t>
  </si>
  <si>
    <t xml:space="preserve">MAC-00221  </t>
  </si>
  <si>
    <t>Pure Pot Maceta Textil 2gal (7.6L)</t>
  </si>
  <si>
    <t xml:space="preserve">MAC-00303  </t>
  </si>
  <si>
    <t>Maceta Contenedor Blanca (27L)</t>
  </si>
  <si>
    <t xml:space="preserve">MAC-00309  </t>
  </si>
  <si>
    <t>Maceta Contenedor Blanca con asas (50L)</t>
  </si>
  <si>
    <t xml:space="preserve">MAC-00312  </t>
  </si>
  <si>
    <t>Maceta Contenedor Blanca con asas (40L)</t>
  </si>
  <si>
    <t xml:space="preserve">MAC-00313  </t>
  </si>
  <si>
    <t>Maceta Contenedor Blanca 35cm (25L)</t>
  </si>
  <si>
    <t xml:space="preserve">MAC-00449  </t>
  </si>
  <si>
    <t>Maceta Cuadrada Negra 7x7x8 (0,23L)</t>
  </si>
  <si>
    <t xml:space="preserve">MAC-00450  </t>
  </si>
  <si>
    <t>Maceta Cuadrada Negra 9x9x10 (0,6L)</t>
  </si>
  <si>
    <t xml:space="preserve">MAC-00452  </t>
  </si>
  <si>
    <t>Maceta Cuadrada Negra 13x13x13 (1L)</t>
  </si>
  <si>
    <t xml:space="preserve">MAC-00453  </t>
  </si>
  <si>
    <t>Maceta Cuadrada Negra 15x15x20 (3,5L)</t>
  </si>
  <si>
    <t xml:space="preserve">MAC-00454  </t>
  </si>
  <si>
    <t>Maceta Cuadrada Negra 18x18x23  (5,8L)</t>
  </si>
  <si>
    <t xml:space="preserve">MAC-00455  </t>
  </si>
  <si>
    <t>Maceta Cuadrada Negra 20x20x27,5 (7L)</t>
  </si>
  <si>
    <t xml:space="preserve">MAC-00456  </t>
  </si>
  <si>
    <t>Maceta Cuadrada Negra 22x22x26 (11L)</t>
  </si>
  <si>
    <t xml:space="preserve">MAC-00461  </t>
  </si>
  <si>
    <t>Maceta Cuadrada Blanca 18x18x25 (5,5L)</t>
  </si>
  <si>
    <t xml:space="preserve">MAC-00474  </t>
  </si>
  <si>
    <t xml:space="preserve">MAC-00485  </t>
  </si>
  <si>
    <t>Maceta Cuadrada Negra Pure Factory 14L</t>
  </si>
  <si>
    <t xml:space="preserve">MAC-007643 </t>
  </si>
  <si>
    <t xml:space="preserve">MAC-00811  </t>
  </si>
  <si>
    <t>Etiqueta picar (500u)</t>
  </si>
  <si>
    <t xml:space="preserve">MAC-00812  </t>
  </si>
  <si>
    <t>Etiqueta bucle 1.3x20cm/1.7x18cm (1000u)</t>
  </si>
  <si>
    <t xml:space="preserve">MAC-00815  </t>
  </si>
  <si>
    <t>Etiqueta Pincho 17cm (100u)</t>
  </si>
  <si>
    <t xml:space="preserve">MAC-00927  </t>
  </si>
  <si>
    <t>Smart Pot 5gal (19.3L)</t>
  </si>
  <si>
    <t xml:space="preserve">MAC-00932  </t>
  </si>
  <si>
    <t>Root Pouch 18L (5Gal) con asas</t>
  </si>
  <si>
    <t xml:space="preserve">MAC-009444 </t>
  </si>
  <si>
    <t>Root Pouch 45L (12gal) con asas</t>
  </si>
  <si>
    <t xml:space="preserve">MAC-00972  </t>
  </si>
  <si>
    <t>Maceta Root Tex Cuadrada Negra 11,35L (3Gal)</t>
  </si>
  <si>
    <t xml:space="preserve">MAC-00981  </t>
  </si>
  <si>
    <t>Maceta Root Tex Redonda Negra 11.35L (3gal)</t>
  </si>
  <si>
    <t xml:space="preserve">MAC-00993  </t>
  </si>
  <si>
    <t>Maceta Redonda Negra 16L</t>
  </si>
  <si>
    <t xml:space="preserve">MAC-0819   </t>
  </si>
  <si>
    <t>Tutor Plastico 90cm (Macizo)</t>
  </si>
  <si>
    <t xml:space="preserve">MAC-0820   </t>
  </si>
  <si>
    <t>Tutor Plastico 120cm (Macizo)</t>
  </si>
  <si>
    <t xml:space="preserve">MAC-0821   </t>
  </si>
  <si>
    <t>Tutor Plastico 150cm (Macizo)</t>
  </si>
  <si>
    <t xml:space="preserve">MAC-0831   </t>
  </si>
  <si>
    <t>Plato Cuadrado Maceta 23 cm ( 50 uds )</t>
  </si>
  <si>
    <t xml:space="preserve">MAC-0832   </t>
  </si>
  <si>
    <t>Maceta Cuadrada Negra Pure Factory  1L</t>
  </si>
  <si>
    <t xml:space="preserve">MAC-0833   </t>
  </si>
  <si>
    <t>Maceta Cuadrada Negra Pure Factory 5L</t>
  </si>
  <si>
    <t xml:space="preserve">MAC-0834   </t>
  </si>
  <si>
    <t>Maceta Cuadrada Negra Pure Factory 7L</t>
  </si>
  <si>
    <t xml:space="preserve">MAC-0835   </t>
  </si>
  <si>
    <t>Maceta Cuadrada Negra Pure Factory 11L</t>
  </si>
  <si>
    <t xml:space="preserve">MAC-0837   </t>
  </si>
  <si>
    <t>Plato Cuadrado Pure Factory 25x25 cm ( 20 uds )</t>
  </si>
  <si>
    <t xml:space="preserve">MAC-0838   </t>
  </si>
  <si>
    <t>Plato de Maceta 25x25 cm (20 ud) Pure Factory</t>
  </si>
  <si>
    <t xml:space="preserve">MAC-0840   </t>
  </si>
  <si>
    <t>Plato maceta 23 cm unidad</t>
  </si>
  <si>
    <t xml:space="preserve">MAC-0841   </t>
  </si>
  <si>
    <t>Plato cuadrado 29x29 Pure Factory ( 20 ud)</t>
  </si>
  <si>
    <t xml:space="preserve">MAC-0842   </t>
  </si>
  <si>
    <t>Maceta textil flexapot 26,6 L ( 7 Gal )</t>
  </si>
  <si>
    <t xml:space="preserve">MAC-0843   </t>
  </si>
  <si>
    <t>Plato maceta redondo Pure Factory 30cm ( 20ud)</t>
  </si>
  <si>
    <t xml:space="preserve">MAC-0844   </t>
  </si>
  <si>
    <t>Maceta negra cuadradad Thor Eco 11L ( 40 uni)</t>
  </si>
  <si>
    <t xml:space="preserve">MAC-0845   </t>
  </si>
  <si>
    <t>Maceta negra cuadrada 10x10x14 (1L) Pure Factory</t>
  </si>
  <si>
    <t xml:space="preserve">MAC-0846   </t>
  </si>
  <si>
    <t>Plato maceta cuadrado 17x17 ( 40u)</t>
  </si>
  <si>
    <t xml:space="preserve">MAC-0847   </t>
  </si>
  <si>
    <t>Maceta Textil gris 113,5L ( 30 GAL) ( 5ud)</t>
  </si>
  <si>
    <t xml:space="preserve">MAC-0848   </t>
  </si>
  <si>
    <t>Maceta Teku 7x7x8 ( 100ud)</t>
  </si>
  <si>
    <t xml:space="preserve">MAC-0849   </t>
  </si>
  <si>
    <t>Pure Pot Maceta Textil 26,6L ( 7gal) (5ud)</t>
  </si>
  <si>
    <t xml:space="preserve">MAC-0850   </t>
  </si>
  <si>
    <t xml:space="preserve">MAC-0851   </t>
  </si>
  <si>
    <t xml:space="preserve">MAC-0852   </t>
  </si>
  <si>
    <t xml:space="preserve">MAC-0854   </t>
  </si>
  <si>
    <t xml:space="preserve">MAS-00010  </t>
  </si>
  <si>
    <t>Fruit Green Funcidida Descarga Total 50ml</t>
  </si>
  <si>
    <t xml:space="preserve">ME-00002   </t>
  </si>
  <si>
    <t>Pipeta 3ml plastico (unidad)</t>
  </si>
  <si>
    <t xml:space="preserve">ME-00102   </t>
  </si>
  <si>
    <t>Vaso graduado 250ml</t>
  </si>
  <si>
    <t xml:space="preserve">MJOS-0001  </t>
  </si>
  <si>
    <t>ROX FDP Wholesale 1L</t>
  </si>
  <si>
    <t xml:space="preserve">MN-0001    </t>
  </si>
  <si>
    <t>Monkey Coco 50L</t>
  </si>
  <si>
    <t xml:space="preserve">MN-0002    </t>
  </si>
  <si>
    <t>Monkey Light Mix Evolution 50L</t>
  </si>
  <si>
    <t xml:space="preserve">MN-0003    </t>
  </si>
  <si>
    <t>Monkey Light Mix Pro 50L</t>
  </si>
  <si>
    <t xml:space="preserve">MN-0004    </t>
  </si>
  <si>
    <t>Monkey Coco Pro 50L</t>
  </si>
  <si>
    <t xml:space="preserve">MN-0005    </t>
  </si>
  <si>
    <t>Monkey Batmix 50L</t>
  </si>
  <si>
    <t xml:space="preserve">MN-0009    </t>
  </si>
  <si>
    <t>Monkey BatMonkey 5kg</t>
  </si>
  <si>
    <t xml:space="preserve">MN-0015    </t>
  </si>
  <si>
    <t>Monkey Myko 250gr</t>
  </si>
  <si>
    <t xml:space="preserve">MN-0017    </t>
  </si>
  <si>
    <t>Monkey Myko 50gr</t>
  </si>
  <si>
    <t xml:space="preserve">MN-0018    </t>
  </si>
  <si>
    <t>Monkey Myko 100gr</t>
  </si>
  <si>
    <t xml:space="preserve">MN-0025    </t>
  </si>
  <si>
    <t>Monkey Ecosoil Indoor 50L</t>
  </si>
  <si>
    <t xml:space="preserve">MN-0032    </t>
  </si>
  <si>
    <t>Big Monkey 80L</t>
  </si>
  <si>
    <t xml:space="preserve">MN-0033    </t>
  </si>
  <si>
    <t>Monkey Cocolite 50L</t>
  </si>
  <si>
    <t xml:space="preserve">MN-0044    </t>
  </si>
  <si>
    <t>Monkey Dolomite 5kg</t>
  </si>
  <si>
    <t xml:space="preserve">MN-0045    </t>
  </si>
  <si>
    <t>Monkey Myko Pro 100gr</t>
  </si>
  <si>
    <t xml:space="preserve">MN-0046    </t>
  </si>
  <si>
    <t>Monkey Aktivator 1L</t>
  </si>
  <si>
    <t xml:space="preserve">MN-0069    </t>
  </si>
  <si>
    <t>Monkey Roots 100gr</t>
  </si>
  <si>
    <t xml:space="preserve">MN-0070    </t>
  </si>
  <si>
    <t>Monkey Punch 30g</t>
  </si>
  <si>
    <t xml:space="preserve">MN-0072    </t>
  </si>
  <si>
    <t>Monkey Holland Mix 50L</t>
  </si>
  <si>
    <t xml:space="preserve">MN-0073    </t>
  </si>
  <si>
    <t xml:space="preserve">MN-071     </t>
  </si>
  <si>
    <t>Monkey Roots 1Kg</t>
  </si>
  <si>
    <t xml:space="preserve">MNL-0001   </t>
  </si>
  <si>
    <t>Monkey Grow 1L</t>
  </si>
  <si>
    <t xml:space="preserve">MNL-0004   </t>
  </si>
  <si>
    <t>Monkey Bloom 1L</t>
  </si>
  <si>
    <t xml:space="preserve">MNL-0005   </t>
  </si>
  <si>
    <t>Monkey Bloom 5L</t>
  </si>
  <si>
    <t xml:space="preserve">MNL-0007   </t>
  </si>
  <si>
    <t>Monkey Doctor M 1L</t>
  </si>
  <si>
    <t xml:space="preserve">MNL-0010   </t>
  </si>
  <si>
    <t>Monkey Radikal Grow 1L</t>
  </si>
  <si>
    <t xml:space="preserve">MNL-0011   </t>
  </si>
  <si>
    <t>Monkey Radikal Grow 5L</t>
  </si>
  <si>
    <t xml:space="preserve">MNL-0013   </t>
  </si>
  <si>
    <t>Monkey Explosive Buds 1L</t>
  </si>
  <si>
    <t xml:space="preserve">MNL-0016   </t>
  </si>
  <si>
    <t xml:space="preserve">MNL-0018   </t>
  </si>
  <si>
    <t xml:space="preserve">MNL-0020   </t>
  </si>
  <si>
    <t xml:space="preserve">MNL-0021   </t>
  </si>
  <si>
    <t xml:space="preserve">MNL-0022   </t>
  </si>
  <si>
    <t xml:space="preserve">MNL-0023   </t>
  </si>
  <si>
    <t xml:space="preserve">MRH-0088   </t>
  </si>
  <si>
    <t>Bolsa lavadora cremallera 8L /220 Mr Hide</t>
  </si>
  <si>
    <t xml:space="preserve">MRH-9016   </t>
  </si>
  <si>
    <t>Extractor Resina 250gr (Mr. Hide)</t>
  </si>
  <si>
    <t xml:space="preserve">MRH-9031   </t>
  </si>
  <si>
    <t>Mini Bomba Alto Rendimiento 1,5 CFM ( Mr Hide)</t>
  </si>
  <si>
    <t xml:space="preserve">MTP-0006   </t>
  </si>
  <si>
    <t>Root Metrop 5L</t>
  </si>
  <si>
    <t xml:space="preserve">MTP-0007   </t>
  </si>
  <si>
    <t>Colosal Metrop 500gr</t>
  </si>
  <si>
    <t xml:space="preserve">MTP-0008   </t>
  </si>
  <si>
    <t>Mam Metrop 1L</t>
  </si>
  <si>
    <t xml:space="preserve">MTPPM-0001 </t>
  </si>
  <si>
    <t>Amino Xtrem Metrop 5L</t>
  </si>
  <si>
    <t xml:space="preserve">MTPPM-0002 </t>
  </si>
  <si>
    <t>Cal Green Metrop 5L</t>
  </si>
  <si>
    <t xml:space="preserve">MTPPM-0003 </t>
  </si>
  <si>
    <t>Enzymes Metrop 5L</t>
  </si>
  <si>
    <t xml:space="preserve">MTPPM-0004 </t>
  </si>
  <si>
    <t>MR 1 Metrop 5L</t>
  </si>
  <si>
    <t xml:space="preserve">MTPPM-0005 </t>
  </si>
  <si>
    <t>MR 2 Metrop 5L</t>
  </si>
  <si>
    <t xml:space="preserve">MV-0034    </t>
  </si>
  <si>
    <t>Bote Hermético TightVac 1.30L Opaca</t>
  </si>
  <si>
    <t xml:space="preserve">NEU-0001   </t>
  </si>
  <si>
    <t>Spruzit Concentrado 250ml (Mittel)</t>
  </si>
  <si>
    <t xml:space="preserve">NEU-0003   </t>
  </si>
  <si>
    <t>Trampas Amarillas Pincho Neudorff</t>
  </si>
  <si>
    <t xml:space="preserve">NEU-0004   </t>
  </si>
  <si>
    <t>Insecticida descarga 150ml</t>
  </si>
  <si>
    <t xml:space="preserve">NEU-0015   </t>
  </si>
  <si>
    <t>Bomba Flower Insecticida Descarga Total 150ml</t>
  </si>
  <si>
    <t xml:space="preserve">NEU-0053   </t>
  </si>
  <si>
    <t>Spruzit Concentrado 500ml (Mittel)</t>
  </si>
  <si>
    <t xml:space="preserve">P-1008     </t>
  </si>
  <si>
    <t>Filtros Actitube Slim ( 50 Filtros )</t>
  </si>
  <si>
    <t xml:space="preserve">P-1010     </t>
  </si>
  <si>
    <t>Filtros Jilter caja (33u)</t>
  </si>
  <si>
    <t xml:space="preserve">P-1017     </t>
  </si>
  <si>
    <t>Papel Rami Dispensar</t>
  </si>
  <si>
    <t xml:space="preserve">P-1046     </t>
  </si>
  <si>
    <t>Filtros Actitube (caja de 100 filtros)</t>
  </si>
  <si>
    <t xml:space="preserve">P-1048     </t>
  </si>
  <si>
    <t>Rami KS + Tips (32 hojas)</t>
  </si>
  <si>
    <t xml:space="preserve">P-1049     </t>
  </si>
  <si>
    <t xml:space="preserve">P-1090     </t>
  </si>
  <si>
    <t>Filtros a granel ramis 57000 uni</t>
  </si>
  <si>
    <t xml:space="preserve">P-4016     </t>
  </si>
  <si>
    <t>Cones 800 Fly Conez Rami</t>
  </si>
  <si>
    <t xml:space="preserve">P-4020     </t>
  </si>
  <si>
    <t>Papel Raw Slim + Tips</t>
  </si>
  <si>
    <t xml:space="preserve">P-6021     </t>
  </si>
  <si>
    <t>Papel Raw 1/4 caja (24u) 50 hojas</t>
  </si>
  <si>
    <t xml:space="preserve">P-6023     </t>
  </si>
  <si>
    <t>Papel Raw King Size Slim caja (50u)</t>
  </si>
  <si>
    <t xml:space="preserve">P-6025     </t>
  </si>
  <si>
    <t>Papel Raw Rollos (12u)</t>
  </si>
  <si>
    <t xml:space="preserve">P-6027     </t>
  </si>
  <si>
    <t>Papel Raw filtros (50u)</t>
  </si>
  <si>
    <t xml:space="preserve">P-6028     </t>
  </si>
  <si>
    <t>Papel Raw Filtros Wide caja (50u)</t>
  </si>
  <si>
    <t xml:space="preserve">P-6032     </t>
  </si>
  <si>
    <t>Papel Raw King Size Slim + Filtros (24u)</t>
  </si>
  <si>
    <t xml:space="preserve">P-6058     </t>
  </si>
  <si>
    <t>Papel Raw Slim Black king size</t>
  </si>
  <si>
    <t xml:space="preserve">P-6102     </t>
  </si>
  <si>
    <t>Papel Rami Slim Brown KS (50u)</t>
  </si>
  <si>
    <t xml:space="preserve">P-6102A    </t>
  </si>
  <si>
    <t>Filtros Rami Brown (50u)</t>
  </si>
  <si>
    <t xml:space="preserve">P-7007     </t>
  </si>
  <si>
    <t>Filtros Natur Carton Troquelado 50 hojas</t>
  </si>
  <si>
    <t xml:space="preserve">PAR-0104   </t>
  </si>
  <si>
    <t xml:space="preserve">PAR-0454   </t>
  </si>
  <si>
    <t>Bandeja Ripper K-MINTZ</t>
  </si>
  <si>
    <t xml:space="preserve">PAR-0455   </t>
  </si>
  <si>
    <t>Bandeja Ripper OMG</t>
  </si>
  <si>
    <t xml:space="preserve">PAR-0456   </t>
  </si>
  <si>
    <t>Bandeja Ripper Zombie Kush</t>
  </si>
  <si>
    <t xml:space="preserve">PAR-0457   </t>
  </si>
  <si>
    <t>Bandeja Ripper Radical Juice</t>
  </si>
  <si>
    <t xml:space="preserve">PAR-0458   </t>
  </si>
  <si>
    <t>Bandeja Ripper Zombie Bride</t>
  </si>
  <si>
    <t xml:space="preserve">PAR-0480   </t>
  </si>
  <si>
    <t>Pin Ripper Seeds</t>
  </si>
  <si>
    <t xml:space="preserve">PAR-0500   </t>
  </si>
  <si>
    <t>Bolsa Amsterbag 55x65mm (2000u)</t>
  </si>
  <si>
    <t xml:space="preserve">PAR-0505   </t>
  </si>
  <si>
    <t>Bolsa Amsterbag 80x60mm (1000u)</t>
  </si>
  <si>
    <t xml:space="preserve">PAR-0506   </t>
  </si>
  <si>
    <t>Bolsa Amsterbag 70x100mm (1000u)</t>
  </si>
  <si>
    <t xml:space="preserve">PAR-0516   </t>
  </si>
  <si>
    <t>Bolsa Conservación (56x91cm) Negra Grande</t>
  </si>
  <si>
    <t xml:space="preserve">PAR-0518   </t>
  </si>
  <si>
    <t>Bolsa Conservación (90x130) Negra Super Grande</t>
  </si>
  <si>
    <t xml:space="preserve">PARA-0075  </t>
  </si>
  <si>
    <t>Terpeno Cali Terpenes- Sour Diesel (1ml)</t>
  </si>
  <si>
    <t xml:space="preserve">PARA-0100  </t>
  </si>
  <si>
    <t xml:space="preserve">PE-051     </t>
  </si>
  <si>
    <t>OidioProt 50gr</t>
  </si>
  <si>
    <t xml:space="preserve">PE-101     </t>
  </si>
  <si>
    <t>OidioProt 100gr</t>
  </si>
  <si>
    <t xml:space="preserve">PE-118     </t>
  </si>
  <si>
    <t>Anti Oxiprot 100 gr</t>
  </si>
  <si>
    <t>PLAG-001002</t>
  </si>
  <si>
    <t>PLAG-010001</t>
  </si>
  <si>
    <t>Plagron Terra Grow 1L</t>
  </si>
  <si>
    <t>PLAG-010002</t>
  </si>
  <si>
    <t>Plagron Terra Bloom 1L</t>
  </si>
  <si>
    <t>PLAG-010003</t>
  </si>
  <si>
    <t>Plagron Alga Grow 1L</t>
  </si>
  <si>
    <t>PLAG-010004</t>
  </si>
  <si>
    <t>Plagron Alga Bloom 1L</t>
  </si>
  <si>
    <t>PLAG-010010</t>
  </si>
  <si>
    <t>Plagron Green Sensation 1L</t>
  </si>
  <si>
    <t>PLAG-010011</t>
  </si>
  <si>
    <t>Plagron Pk 13-14 1L</t>
  </si>
  <si>
    <t>PLAG-010012</t>
  </si>
  <si>
    <t>Plagron Pure Zym 1L</t>
  </si>
  <si>
    <t>PLAG-010014</t>
  </si>
  <si>
    <t>Plagron Power Roots 1L</t>
  </si>
  <si>
    <t>PLAG-010015</t>
  </si>
  <si>
    <t>Plagron Vita Race 1L</t>
  </si>
  <si>
    <t>PLAG-010016</t>
  </si>
  <si>
    <t>Plagron Vita Start 1L</t>
  </si>
  <si>
    <t>PLAG-010026</t>
  </si>
  <si>
    <t>Plagron Start Up 1L</t>
  </si>
  <si>
    <t>PLAG-050001</t>
  </si>
  <si>
    <t>Plagron Terra Grow 5L</t>
  </si>
  <si>
    <t>PLAG-050002</t>
  </si>
  <si>
    <t>Plagron Terra Bloom 5L</t>
  </si>
  <si>
    <t>PLAG-050004</t>
  </si>
  <si>
    <t>Plagron Alga Bloom 5L</t>
  </si>
  <si>
    <t>PLAG-050008</t>
  </si>
  <si>
    <t>Plagron Green Sensation 5L</t>
  </si>
  <si>
    <t>PLAG-050011</t>
  </si>
  <si>
    <t>Plagron Pk 13-14 5L</t>
  </si>
  <si>
    <t>PLAG-050013</t>
  </si>
  <si>
    <t>Plagron Pure Zym 5L</t>
  </si>
  <si>
    <t>PLAG-050014</t>
  </si>
  <si>
    <t>Plagron Power Roots 5L</t>
  </si>
  <si>
    <t>PLAG-050018</t>
  </si>
  <si>
    <t>Plagron Sugar Royal 5L</t>
  </si>
  <si>
    <t>PLAG-070033</t>
  </si>
  <si>
    <t>Plagron Alga Grow 10L</t>
  </si>
  <si>
    <t>PLAG-100001</t>
  </si>
  <si>
    <t>Plagron Alga Bloom 10L</t>
  </si>
  <si>
    <t>PLAG-100002</t>
  </si>
  <si>
    <t>Plagron Terra Grow 10L</t>
  </si>
  <si>
    <t>PLAG-100003</t>
  </si>
  <si>
    <t>Plagron Terra Bloom 10L</t>
  </si>
  <si>
    <t>PLAG-100008</t>
  </si>
  <si>
    <t>Plagron Green Sensation 10L</t>
  </si>
  <si>
    <t>PLAG-100013</t>
  </si>
  <si>
    <t>Plagron Pure Zym 10L</t>
  </si>
  <si>
    <t>PLAG-100014</t>
  </si>
  <si>
    <t>Plagron Power Roots 10L</t>
  </si>
  <si>
    <t>PLAG-200001</t>
  </si>
  <si>
    <t>Plagron Terra Bloom 20L</t>
  </si>
  <si>
    <t>PLAG-500000</t>
  </si>
  <si>
    <t>PLAG-500001</t>
  </si>
  <si>
    <t>Plagron All Mix 50L</t>
  </si>
  <si>
    <t>PLAG-500005</t>
  </si>
  <si>
    <t>Plagron Light Mix con perlita 50L</t>
  </si>
  <si>
    <t>PLAG-500012</t>
  </si>
  <si>
    <t>Plagron Power Buds 10L</t>
  </si>
  <si>
    <t>PLAG-500015</t>
  </si>
  <si>
    <t>Plagron Start Up 5L</t>
  </si>
  <si>
    <t>PLAG-500016</t>
  </si>
  <si>
    <t>PLAG-500017</t>
  </si>
  <si>
    <t>PLAG-500018</t>
  </si>
  <si>
    <t>PLAG-500019</t>
  </si>
  <si>
    <t xml:space="preserve">POD-2300   </t>
  </si>
  <si>
    <t>Podadora Twister Batch One Mini</t>
  </si>
  <si>
    <t xml:space="preserve">POD-2304   </t>
  </si>
  <si>
    <t>Podadora Magic Trim Ripper</t>
  </si>
  <si>
    <t xml:space="preserve">POD-2312G  </t>
  </si>
  <si>
    <t>Podadora Pro-Spin - Recambio Cuchilla Cruzada 24</t>
  </si>
  <si>
    <t xml:space="preserve">POD-2313B  </t>
  </si>
  <si>
    <t>Podadora- Recambio Cuchilla Recta 24''</t>
  </si>
  <si>
    <t xml:space="preserve">POD-2333E  </t>
  </si>
  <si>
    <t>Podadora TrimPro Rotor - Recambio Juego Correas de Cuero</t>
  </si>
  <si>
    <t xml:space="preserve">POD-2346   </t>
  </si>
  <si>
    <t>Podadora Leaf Trimmer Pro 24</t>
  </si>
  <si>
    <t xml:space="preserve">POD-2389   </t>
  </si>
  <si>
    <t>Podadora Top Spinner Rotor 19"</t>
  </si>
  <si>
    <t xml:space="preserve">POD-2390   </t>
  </si>
  <si>
    <t>Podadora Top Spinner Rotor 24</t>
  </si>
  <si>
    <t xml:space="preserve">POD-2500   </t>
  </si>
  <si>
    <t>Peladora MJ3 60cm 24´´</t>
  </si>
  <si>
    <t xml:space="preserve">POD-3252   </t>
  </si>
  <si>
    <t>Podadora MasterTrimmer Dry 200</t>
  </si>
  <si>
    <t xml:space="preserve">POD-3253   </t>
  </si>
  <si>
    <t xml:space="preserve">POD-3553   </t>
  </si>
  <si>
    <t xml:space="preserve">PRES-00017 </t>
  </si>
  <si>
    <t xml:space="preserve">PRES-2001  </t>
  </si>
  <si>
    <t>Prensa 6 toneladas</t>
  </si>
  <si>
    <t xml:space="preserve">PRES-2005  </t>
  </si>
  <si>
    <t>Prensa 12 toneladas</t>
  </si>
  <si>
    <t xml:space="preserve">QNU-0032   </t>
  </si>
  <si>
    <t xml:space="preserve">QNU-0033   </t>
  </si>
  <si>
    <t xml:space="preserve">QNU-0034   </t>
  </si>
  <si>
    <t xml:space="preserve">RE-0001    </t>
  </si>
  <si>
    <t>Pipa Amazed Aluminio Colores: Rosa/Naranja/Turguesa/Oro/Morado</t>
  </si>
  <si>
    <t xml:space="preserve">RE-0005    </t>
  </si>
  <si>
    <t>Pipa Splif Stick Aluminio Colores: Rosa/Naranja/Morado/</t>
  </si>
  <si>
    <t xml:space="preserve">RE-0040    </t>
  </si>
  <si>
    <t>Pure Factory kit 5 Mallas Extraccion Todomalla 20L</t>
  </si>
  <si>
    <t xml:space="preserve">RE-0041    </t>
  </si>
  <si>
    <t>Pure Factory Malla Extraccion Todomalla 220mic 20L</t>
  </si>
  <si>
    <t xml:space="preserve">RE-0042    </t>
  </si>
  <si>
    <t>Pure Factory Malla Extraccion Todomalla 90mic 20L</t>
  </si>
  <si>
    <t xml:space="preserve">RE-0043    </t>
  </si>
  <si>
    <t>Pure Factory Malla Extraccion Todomalla 25mic 20L</t>
  </si>
  <si>
    <t xml:space="preserve">RE-03039   </t>
  </si>
  <si>
    <t>Gas Colibrí 300ml</t>
  </si>
  <si>
    <t xml:space="preserve">RE-03041   </t>
  </si>
  <si>
    <t>Gas Atomic</t>
  </si>
  <si>
    <t xml:space="preserve">RE-03045   </t>
  </si>
  <si>
    <t>Gas Dexso 500ml</t>
  </si>
  <si>
    <t xml:space="preserve">RP- 06020  </t>
  </si>
  <si>
    <t>Ripper Riñonera Negra</t>
  </si>
  <si>
    <t xml:space="preserve">RP-01001   </t>
  </si>
  <si>
    <t>Ripper Haze 1 fem</t>
  </si>
  <si>
    <t xml:space="preserve">RP-01002   </t>
  </si>
  <si>
    <t>Criminal + 1 fem</t>
  </si>
  <si>
    <t xml:space="preserve">RP-01008   </t>
  </si>
  <si>
    <t>Toxic 1 fem</t>
  </si>
  <si>
    <t xml:space="preserve">RP-01009   </t>
  </si>
  <si>
    <t>Zombie Kush 1 fem</t>
  </si>
  <si>
    <t xml:space="preserve">RP-01010   </t>
  </si>
  <si>
    <t>Washing Machine 1 fem</t>
  </si>
  <si>
    <t xml:space="preserve">RP-01011   </t>
  </si>
  <si>
    <t>Sour Ripper 1 fem</t>
  </si>
  <si>
    <t xml:space="preserve">RP-01014   </t>
  </si>
  <si>
    <t>Ripper Badazz 1 fem</t>
  </si>
  <si>
    <t xml:space="preserve">RP-01015   </t>
  </si>
  <si>
    <t>Sideral 1 fem</t>
  </si>
  <si>
    <t xml:space="preserve">RP-01016   </t>
  </si>
  <si>
    <t>DO-G 1 fem</t>
  </si>
  <si>
    <t xml:space="preserve">RP-01017   </t>
  </si>
  <si>
    <t>Chempie 1 fem</t>
  </si>
  <si>
    <t xml:space="preserve">RP-01018   </t>
  </si>
  <si>
    <t>Brain Cake 1 fem</t>
  </si>
  <si>
    <t xml:space="preserve">RP-01019   </t>
  </si>
  <si>
    <t>OMG 1 fem</t>
  </si>
  <si>
    <t xml:space="preserve">RP-01020   </t>
  </si>
  <si>
    <t>K-MintZ 1 fem</t>
  </si>
  <si>
    <t xml:space="preserve">RP-01022   </t>
  </si>
  <si>
    <t>Radical Juice 1 fem</t>
  </si>
  <si>
    <t xml:space="preserve">RP-01024   </t>
  </si>
  <si>
    <t>Break Pad Breath 1 fem</t>
  </si>
  <si>
    <t xml:space="preserve">RP-01025   </t>
  </si>
  <si>
    <t>Ripper Shimo 1 fem</t>
  </si>
  <si>
    <t xml:space="preserve">RP-01026   </t>
  </si>
  <si>
    <t>Ripper Shimo 3 fem</t>
  </si>
  <si>
    <t xml:space="preserve">RP-01027   </t>
  </si>
  <si>
    <t>Ripper Shimo 5 fem</t>
  </si>
  <si>
    <t xml:space="preserve">RP-01028   </t>
  </si>
  <si>
    <t>Ripper Kroma 1 fem</t>
  </si>
  <si>
    <t xml:space="preserve">RP-01031   </t>
  </si>
  <si>
    <t>Ripper Korenji 1 fem</t>
  </si>
  <si>
    <t xml:space="preserve">RP-01032   </t>
  </si>
  <si>
    <t>Ripper Korenji 3 fem</t>
  </si>
  <si>
    <t xml:space="preserve">RP-01033   </t>
  </si>
  <si>
    <t>Ripper Korenji 5 fem</t>
  </si>
  <si>
    <t xml:space="preserve">RP-01034   </t>
  </si>
  <si>
    <t>Zake 1 fem</t>
  </si>
  <si>
    <t xml:space="preserve">RP-03001   </t>
  </si>
  <si>
    <t>Ripper Haze 3 fem</t>
  </si>
  <si>
    <t xml:space="preserve">RP-03002   </t>
  </si>
  <si>
    <t>Criminal + 3 fem</t>
  </si>
  <si>
    <t xml:space="preserve">RP-03004   </t>
  </si>
  <si>
    <t>Radical Juice  3 fem</t>
  </si>
  <si>
    <t xml:space="preserve">RP-03008   </t>
  </si>
  <si>
    <t>Toxic 3 fem</t>
  </si>
  <si>
    <t xml:space="preserve">RP-03009   </t>
  </si>
  <si>
    <t>Zombie Kush 3 fem</t>
  </si>
  <si>
    <t xml:space="preserve">RP-03010   </t>
  </si>
  <si>
    <t>Washing Machine 3 fem</t>
  </si>
  <si>
    <t xml:space="preserve">RP-03011   </t>
  </si>
  <si>
    <t>Sour Ripper 3 fem</t>
  </si>
  <si>
    <t xml:space="preserve">RP-03014   </t>
  </si>
  <si>
    <t>Ripper Badazz 3 fem</t>
  </si>
  <si>
    <t xml:space="preserve">RP-03015   </t>
  </si>
  <si>
    <t>Sideral 3 fem</t>
  </si>
  <si>
    <t xml:space="preserve">RP-03016   </t>
  </si>
  <si>
    <t>DO-G 3 fem</t>
  </si>
  <si>
    <t xml:space="preserve">RP-03017   </t>
  </si>
  <si>
    <t>Chempie 3 fem</t>
  </si>
  <si>
    <t xml:space="preserve">RP-03018   </t>
  </si>
  <si>
    <t>Brain Cake 3 fem</t>
  </si>
  <si>
    <t xml:space="preserve">RP-03019   </t>
  </si>
  <si>
    <t>OMG 3 Fem</t>
  </si>
  <si>
    <t xml:space="preserve">RP-03020   </t>
  </si>
  <si>
    <t>K-MintZ 3 fem</t>
  </si>
  <si>
    <t xml:space="preserve">RP-03022   </t>
  </si>
  <si>
    <t>Zombie Bride 3 fem</t>
  </si>
  <si>
    <t xml:space="preserve">RP-03024   </t>
  </si>
  <si>
    <t>Break Pad Breath 3 fem</t>
  </si>
  <si>
    <t xml:space="preserve">RP-03034   </t>
  </si>
  <si>
    <t>Zake 3 fem</t>
  </si>
  <si>
    <t xml:space="preserve">RP-03072   </t>
  </si>
  <si>
    <t>DO-G 5 fem</t>
  </si>
  <si>
    <t xml:space="preserve">RP-03096   </t>
  </si>
  <si>
    <t>Brain Cake 5 fem</t>
  </si>
  <si>
    <t xml:space="preserve">RP-03099   </t>
  </si>
  <si>
    <t>Chempie 5 fem</t>
  </si>
  <si>
    <t xml:space="preserve">RP-05001   </t>
  </si>
  <si>
    <t>Ripper Haze 5 fem</t>
  </si>
  <si>
    <t xml:space="preserve">RP-05002   </t>
  </si>
  <si>
    <t>Criminal + 5 fem</t>
  </si>
  <si>
    <t xml:space="preserve">RP-05004   </t>
  </si>
  <si>
    <t>Radical Juice  5 fem</t>
  </si>
  <si>
    <t>V</t>
  </si>
  <si>
    <t xml:space="preserve">RP-05008   </t>
  </si>
  <si>
    <t>Toxic 5 fem</t>
  </si>
  <si>
    <t xml:space="preserve">RP-05009   </t>
  </si>
  <si>
    <t>Zombie Kush 5 fem</t>
  </si>
  <si>
    <t xml:space="preserve">RP-05010   </t>
  </si>
  <si>
    <t>Washing Machine 5 fem</t>
  </si>
  <si>
    <t xml:space="preserve">RP-05011   </t>
  </si>
  <si>
    <t>Sour Ripper 5 fem</t>
  </si>
  <si>
    <t xml:space="preserve">RP-05012   </t>
  </si>
  <si>
    <t>Acid Dough 5 fem</t>
  </si>
  <si>
    <t xml:space="preserve">RP-05014   </t>
  </si>
  <si>
    <t>Ripper Badazz 5 fem</t>
  </si>
  <si>
    <t xml:space="preserve">RP-05015   </t>
  </si>
  <si>
    <t>Sideral 5 fem</t>
  </si>
  <si>
    <t xml:space="preserve">RP-05019   </t>
  </si>
  <si>
    <t>OMG 5 fem</t>
  </si>
  <si>
    <t xml:space="preserve">RP-05020   </t>
  </si>
  <si>
    <t>K-MintZ 5 fem</t>
  </si>
  <si>
    <t xml:space="preserve">RP-05022   </t>
  </si>
  <si>
    <t>Zombie Bride 5 fem</t>
  </si>
  <si>
    <t xml:space="preserve">RP-06000   </t>
  </si>
  <si>
    <t>Ripper Badazz 12 reg</t>
  </si>
  <si>
    <t xml:space="preserve">RP-06002   </t>
  </si>
  <si>
    <t>Ripper Camisa Antracita</t>
  </si>
  <si>
    <t xml:space="preserve">RP-06025   </t>
  </si>
  <si>
    <t>Ripper Ed. lim. 1aT Gelato Acai Berry x Purple Punch 3 fem</t>
  </si>
  <si>
    <t xml:space="preserve">RP-06040   </t>
  </si>
  <si>
    <t>Ripper Ed. Lim Zombie Kush s1 1aT 3 fem</t>
  </si>
  <si>
    <t xml:space="preserve">RP-06042   </t>
  </si>
  <si>
    <t>Ripper Ed. Lim. GMO x Animal cookies 1aT 3 fem</t>
  </si>
  <si>
    <t xml:space="preserve">RP-09988   </t>
  </si>
  <si>
    <t xml:space="preserve">RP-09989   </t>
  </si>
  <si>
    <t xml:space="preserve">RP-09990   </t>
  </si>
  <si>
    <t>Camiseta Ripper Seeds OMG Piramide</t>
  </si>
  <si>
    <t xml:space="preserve">RP-09991   </t>
  </si>
  <si>
    <t>Camiseta Ripper Do-G</t>
  </si>
  <si>
    <t xml:space="preserve">RP-09992   </t>
  </si>
  <si>
    <t>Camiseta Ripper k-Mintz</t>
  </si>
  <si>
    <t xml:space="preserve">RP-09993   </t>
  </si>
  <si>
    <t>Camiseta Ripper Toxic</t>
  </si>
  <si>
    <t xml:space="preserve">RP-09994   </t>
  </si>
  <si>
    <t>Camiseta Ripper Zombie Kush</t>
  </si>
  <si>
    <t xml:space="preserve">RP-09995   </t>
  </si>
  <si>
    <t>Camiseta Ripper Chempie</t>
  </si>
  <si>
    <t xml:space="preserve">RP-09997   </t>
  </si>
  <si>
    <t>Camiseta Ripper Brain Cake</t>
  </si>
  <si>
    <t xml:space="preserve">RP-09998   </t>
  </si>
  <si>
    <t>Camiseta Ripper Zombie Bride</t>
  </si>
  <si>
    <t xml:space="preserve">RP-09999   </t>
  </si>
  <si>
    <t>Camiseta Ripper Radical Juice</t>
  </si>
  <si>
    <t xml:space="preserve">RP-10001   </t>
  </si>
  <si>
    <t>Camiseta Ripper Seeds Calaveras</t>
  </si>
  <si>
    <t xml:space="preserve">RP-10010   </t>
  </si>
  <si>
    <t>Ripper MOUSE PAD - OMG</t>
  </si>
  <si>
    <t xml:space="preserve">RP-10012   </t>
  </si>
  <si>
    <t>Camiseta Ripper Break Pad Breath</t>
  </si>
  <si>
    <t xml:space="preserve">RP-11209   </t>
  </si>
  <si>
    <t>Ripper Bote Conservación Cristal</t>
  </si>
  <si>
    <t xml:space="preserve">RP-11210   </t>
  </si>
  <si>
    <t>Ripper Cenicero Negro</t>
  </si>
  <si>
    <t xml:space="preserve">RP-11211   </t>
  </si>
  <si>
    <t>Ripper Grinder Seeds Gris</t>
  </si>
  <si>
    <t xml:space="preserve">RP-11212   </t>
  </si>
  <si>
    <t>Ripper Caja Grande Aluminio Gris</t>
  </si>
  <si>
    <t xml:space="preserve">RP-11219   </t>
  </si>
  <si>
    <t>Ripper Grinder Seeds Negro</t>
  </si>
  <si>
    <t xml:space="preserve">RP-11221   </t>
  </si>
  <si>
    <t>Ripper Caja Pequeña Aluminio Negro</t>
  </si>
  <si>
    <t xml:space="preserve">RP-11222   </t>
  </si>
  <si>
    <t>Ripper Caja Pequeña Aluminio Azul</t>
  </si>
  <si>
    <t xml:space="preserve">RP-11224   </t>
  </si>
  <si>
    <t>Ripper Caja Grande Aluminio Rojo</t>
  </si>
  <si>
    <t xml:space="preserve">RP-11225   </t>
  </si>
  <si>
    <t>Ripper Caja Grande Aluminio Negro</t>
  </si>
  <si>
    <t xml:space="preserve">RP-11226   </t>
  </si>
  <si>
    <t>Ripper Caja Grande Aluminio Azul</t>
  </si>
  <si>
    <t xml:space="preserve">RP-11227   </t>
  </si>
  <si>
    <t>Ripper Camisa Lila</t>
  </si>
  <si>
    <t xml:space="preserve">RP-11228   </t>
  </si>
  <si>
    <t>Ripper Camisa Gris</t>
  </si>
  <si>
    <t xml:space="preserve">RP-11248   </t>
  </si>
  <si>
    <t>Camiseta R.S. Neon</t>
  </si>
  <si>
    <t xml:space="preserve">RP-11255   </t>
  </si>
  <si>
    <t>Ripper K-Mintz Auto x 3</t>
  </si>
  <si>
    <t xml:space="preserve">RP-11256   </t>
  </si>
  <si>
    <t>Ripper K-Mintz Auto x 5</t>
  </si>
  <si>
    <t xml:space="preserve">RP-11257   </t>
  </si>
  <si>
    <t>Ripper Radical Juice Auto x 3</t>
  </si>
  <si>
    <t xml:space="preserve">RP-11258   </t>
  </si>
  <si>
    <t>Ripper Radical Juice Auto x 5</t>
  </si>
  <si>
    <t xml:space="preserve">RP-11259   </t>
  </si>
  <si>
    <t>Ripper Sour Auto x 3</t>
  </si>
  <si>
    <t xml:space="preserve">RP-11260   </t>
  </si>
  <si>
    <t>Ripper Sour Auto x 5</t>
  </si>
  <si>
    <t xml:space="preserve">RP-11261   </t>
  </si>
  <si>
    <t>Ripper Zombie Kush Auto x 3</t>
  </si>
  <si>
    <t xml:space="preserve">RP-11262   </t>
  </si>
  <si>
    <t>Ripper Zombie Kush Auto x 5</t>
  </si>
  <si>
    <t xml:space="preserve">RP-11264   </t>
  </si>
  <si>
    <t>Ripper Gafas de sol Green Leopard</t>
  </si>
  <si>
    <t xml:space="preserve">RP-11265   </t>
  </si>
  <si>
    <t>Ripper Gafas de sol Purple Gradient</t>
  </si>
  <si>
    <t xml:space="preserve">RP-11267   </t>
  </si>
  <si>
    <t xml:space="preserve">RP-SK3     </t>
  </si>
  <si>
    <t>Skate Ripper</t>
  </si>
  <si>
    <t xml:space="preserve">RQS-03009  </t>
  </si>
  <si>
    <t>Northern Light 3 fem</t>
  </si>
  <si>
    <t xml:space="preserve">RQS-0565   </t>
  </si>
  <si>
    <t xml:space="preserve">RQS-10068  </t>
  </si>
  <si>
    <t xml:space="preserve">RQS-25043  </t>
  </si>
  <si>
    <t>Skunk XL 25 fem</t>
  </si>
  <si>
    <t xml:space="preserve">SEM-01010  </t>
  </si>
  <si>
    <t>Gorilla Glue Auto 1 fem (Fast Buds Seeds)</t>
  </si>
  <si>
    <t xml:space="preserve">SEM-03116  </t>
  </si>
  <si>
    <t>Master Kush Auto 3 fem (white Label)</t>
  </si>
  <si>
    <t xml:space="preserve">SEM-03117  </t>
  </si>
  <si>
    <t xml:space="preserve">SEM-05161  </t>
  </si>
  <si>
    <t>White Widow 5 fem (00 Seeds)</t>
  </si>
  <si>
    <t xml:space="preserve">SEM-05162  </t>
  </si>
  <si>
    <t xml:space="preserve">SEM-05163  </t>
  </si>
  <si>
    <t xml:space="preserve">SEM-10126  </t>
  </si>
  <si>
    <t xml:space="preserve">SEM-25006  </t>
  </si>
  <si>
    <t>Cookies Haze 25 fem (coleccion sur)</t>
  </si>
  <si>
    <t xml:space="preserve">SEM-25007  </t>
  </si>
  <si>
    <t>Purple Kush 25 fem (coleccion sur)</t>
  </si>
  <si>
    <t xml:space="preserve">SEM-50029  </t>
  </si>
  <si>
    <t>Semillas Cert: 541127AA AMNESIA</t>
  </si>
  <si>
    <t xml:space="preserve">SEM-50176  </t>
  </si>
  <si>
    <t>Semillas Cert: 541127AA  Tropicana</t>
  </si>
  <si>
    <t xml:space="preserve">SEM-50177  </t>
  </si>
  <si>
    <t xml:space="preserve">SEM-50178  </t>
  </si>
  <si>
    <t xml:space="preserve">SEM-50180  </t>
  </si>
  <si>
    <t xml:space="preserve">SEM-60002  </t>
  </si>
  <si>
    <t>Somango x Critical 50 fem (spanish seeds)</t>
  </si>
  <si>
    <t xml:space="preserve">SEM-60003  </t>
  </si>
  <si>
    <t>White Widow x AK 50 fem (spanish seeds)</t>
  </si>
  <si>
    <t xml:space="preserve">SSF-01001  </t>
  </si>
  <si>
    <t xml:space="preserve">SSF-01002  </t>
  </si>
  <si>
    <t xml:space="preserve">SSF-01003  </t>
  </si>
  <si>
    <t xml:space="preserve">SSF-03003  </t>
  </si>
  <si>
    <t>Super Skunk 3 fem</t>
  </si>
  <si>
    <t xml:space="preserve">SW-0031    </t>
  </si>
  <si>
    <t>Pulverizador 16L  presión mochila Flower</t>
  </si>
  <si>
    <t xml:space="preserve">SWE-00106  </t>
  </si>
  <si>
    <t>Green Poison 100 fem</t>
  </si>
  <si>
    <t xml:space="preserve">SWE-00109  </t>
  </si>
  <si>
    <t>Cream Mandarine XL auto 100 fem</t>
  </si>
  <si>
    <t xml:space="preserve">SWE-00118  </t>
  </si>
  <si>
    <t xml:space="preserve">SWE-03006  </t>
  </si>
  <si>
    <t>Cream Caramel 3 fem</t>
  </si>
  <si>
    <t xml:space="preserve">SWE-03008  </t>
  </si>
  <si>
    <t>Jack 47 3 fem</t>
  </si>
  <si>
    <t xml:space="preserve">SWE-03024  </t>
  </si>
  <si>
    <t>Cream Caramel auto 3 fem</t>
  </si>
  <si>
    <t xml:space="preserve">SWE-03036  </t>
  </si>
  <si>
    <t>Cream Mandarine XL Auto 3 fem</t>
  </si>
  <si>
    <t xml:space="preserve">SWE-03054  </t>
  </si>
  <si>
    <t>Green Poison XL auto 3 fem</t>
  </si>
  <si>
    <t xml:space="preserve">SWE-03056  </t>
  </si>
  <si>
    <t>Sweet Amnesia Haze 3 fem</t>
  </si>
  <si>
    <t xml:space="preserve">SWE-03312  </t>
  </si>
  <si>
    <t>Sweet Cheese XL Auto 3 fem</t>
  </si>
  <si>
    <t xml:space="preserve">SWE-03315  </t>
  </si>
  <si>
    <t>Sweet Amnesia Haze XL Auto 3 fem</t>
  </si>
  <si>
    <t xml:space="preserve">SWE-03317  </t>
  </si>
  <si>
    <t>Crystal Candy XL Auto 3fem</t>
  </si>
  <si>
    <t xml:space="preserve">SWE-03337  </t>
  </si>
  <si>
    <t>Cream Caramel CBD 3 fem</t>
  </si>
  <si>
    <t xml:space="preserve">SWE-03342  </t>
  </si>
  <si>
    <t xml:space="preserve">SWE-03343  </t>
  </si>
  <si>
    <t xml:space="preserve">SWE-03344  </t>
  </si>
  <si>
    <t xml:space="preserve">SWE-05300  </t>
  </si>
  <si>
    <t>Cream Caramel Fast Version 5 fem</t>
  </si>
  <si>
    <t xml:space="preserve">SWE-05312  </t>
  </si>
  <si>
    <t>Sweet Cheese XL Auto 5 fem</t>
  </si>
  <si>
    <t xml:space="preserve">SWE-05315  </t>
  </si>
  <si>
    <t>Sweet Amnesia Haze XL Auto 5 fem</t>
  </si>
  <si>
    <t xml:space="preserve">SWE-05316  </t>
  </si>
  <si>
    <t>Gorilla Girl XL Auto 5 fem</t>
  </si>
  <si>
    <t xml:space="preserve">SWE-05336  </t>
  </si>
  <si>
    <t>Mimosa Bruce Banner XL Auto 5 fem</t>
  </si>
  <si>
    <t xml:space="preserve">SWE-05414  </t>
  </si>
  <si>
    <t>Runtz XL Auto 5 fem</t>
  </si>
  <si>
    <t xml:space="preserve">SWE-05419  </t>
  </si>
  <si>
    <t>Papaya Zoap F1 Fast Version 5 fem</t>
  </si>
  <si>
    <t xml:space="preserve">SWE-25003  </t>
  </si>
  <si>
    <t>Cream Caramel  25 fem</t>
  </si>
  <si>
    <t xml:space="preserve">SWE-25015  </t>
  </si>
  <si>
    <t>Sweet Gelato Auto 25 fem</t>
  </si>
  <si>
    <t xml:space="preserve">SWE-25026  </t>
  </si>
  <si>
    <t xml:space="preserve">SWE-25028  </t>
  </si>
  <si>
    <t xml:space="preserve">SWE-25029  </t>
  </si>
  <si>
    <t xml:space="preserve">TAA-006    </t>
  </si>
  <si>
    <t>FlashClean 10L Terra Aquatica</t>
  </si>
  <si>
    <t xml:space="preserve">TAA-008    </t>
  </si>
  <si>
    <t>Calcium magnesium Supplement 5L Terra Aquatica</t>
  </si>
  <si>
    <t xml:space="preserve">TAA-009    </t>
  </si>
  <si>
    <t>Calcium magnesium Supplement 1L Terra Aquatica</t>
  </si>
  <si>
    <t xml:space="preserve">TAA-010    </t>
  </si>
  <si>
    <t>Trikologic 250Gr Terra Aquatica</t>
  </si>
  <si>
    <t xml:space="preserve">TAA-25001  </t>
  </si>
  <si>
    <t xml:space="preserve">TP-1004    </t>
  </si>
  <si>
    <t xml:space="preserve">TP-5003    </t>
  </si>
  <si>
    <t>Top Crop Top Candy 5L</t>
  </si>
  <si>
    <t xml:space="preserve">TRB-0007   </t>
  </si>
  <si>
    <t>Trabe Mycoplant Black soil 20gr</t>
  </si>
  <si>
    <t xml:space="preserve">TRB-0009   </t>
  </si>
  <si>
    <t>Trabe Oleat Bio  250ml</t>
  </si>
  <si>
    <t xml:space="preserve">TRB-0010   </t>
  </si>
  <si>
    <t>Trabe Oleat Bio  1L</t>
  </si>
  <si>
    <t xml:space="preserve">TRB-0090   </t>
  </si>
  <si>
    <t>Trabe Micro Mite 10ml</t>
  </si>
  <si>
    <t xml:space="preserve">TRB-01002  </t>
  </si>
  <si>
    <t>Trabe Bachumus Evolution Floración 1L</t>
  </si>
  <si>
    <t xml:space="preserve">TRB-01010  </t>
  </si>
  <si>
    <t>Trabe Acido Citrico 1L</t>
  </si>
  <si>
    <t xml:space="preserve">TRB-20001  </t>
  </si>
  <si>
    <t>Trabe Bachumus Evolution Floracion 20L</t>
  </si>
  <si>
    <t xml:space="preserve">TRB-20003  </t>
  </si>
  <si>
    <t>Adybac 1001 Insecticida descarga total 100ml</t>
  </si>
  <si>
    <t xml:space="preserve">TRB-20004  </t>
  </si>
  <si>
    <t>Trabe Sweet Grams 1L</t>
  </si>
  <si>
    <t xml:space="preserve">TRB-20005  </t>
  </si>
  <si>
    <t>Trabe Sweet Grams 5L</t>
  </si>
  <si>
    <t xml:space="preserve">TRB-20006  </t>
  </si>
  <si>
    <t>Trabe King Bloom 600ml</t>
  </si>
  <si>
    <t xml:space="preserve">TRB-20007  </t>
  </si>
  <si>
    <t>Trabe King Bloom 1200ml</t>
  </si>
  <si>
    <t xml:space="preserve">TRB-20008  </t>
  </si>
  <si>
    <t>Trabe King Bloom 5,5L</t>
  </si>
  <si>
    <t xml:space="preserve">TRB-20009  </t>
  </si>
  <si>
    <t>Trabe Mycoplant Roots 20 gr</t>
  </si>
  <si>
    <t xml:space="preserve">TRB-20010  </t>
  </si>
  <si>
    <t>Trabe Humect + 250ml</t>
  </si>
  <si>
    <t xml:space="preserve">TRB-20011  </t>
  </si>
  <si>
    <t>Trabe Humect + 30ml</t>
  </si>
  <si>
    <t xml:space="preserve">TRB-20012  </t>
  </si>
  <si>
    <t>Trabe Bioprotect + 100ml</t>
  </si>
  <si>
    <t xml:space="preserve">TRB-20013  </t>
  </si>
  <si>
    <t xml:space="preserve">TRB-20014  </t>
  </si>
  <si>
    <t xml:space="preserve">VAP-1024   </t>
  </si>
  <si>
    <t>Vaporizador Volcano Mighty +</t>
  </si>
  <si>
    <t xml:space="preserve">VAP-1026   </t>
  </si>
  <si>
    <t xml:space="preserve">VAP-2032   </t>
  </si>
  <si>
    <t>Vaporizador 95% HHC + Terpeno 1 solo uso ( 700 push) Estuche y estuchado</t>
  </si>
  <si>
    <t xml:space="preserve">VAP-2033   </t>
  </si>
  <si>
    <t>Vaporizador 30% CBD + Terpenos - 1 solo uso ( 700 push ) Estuche y estuchado</t>
  </si>
  <si>
    <t xml:space="preserve">VAR-002    </t>
  </si>
  <si>
    <t>VARIOSS 21%IVA</t>
  </si>
  <si>
    <t xml:space="preserve">VARIOS     </t>
  </si>
  <si>
    <t xml:space="preserve">WL-0001    </t>
  </si>
  <si>
    <t xml:space="preserve">WL-0002    </t>
  </si>
  <si>
    <t>ZZ-MRW-N015</t>
  </si>
  <si>
    <t>Portes MRW Nacional 11-15 kg</t>
  </si>
  <si>
    <t xml:space="preserve">ZZ-PORTS   </t>
  </si>
  <si>
    <t>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</si>
</sst>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8">
    <font>
      <sz val="10.0"/>
      <color rgb="FF000000"/>
      <name val="Arial"/>
      <scheme val="minor"/>
    </font>
    <font>
      <sz val="11.0"/>
      <color rgb="FFFFFFFF"/>
      <name val="Calibri"/>
    </font>
    <font>
      <sz val="10.0"/>
      <color rgb="FF000000"/>
      <name val="Arial"/>
    </font>
    <font>
      <sz val="11.0"/>
      <color theme="1"/>
      <name val="Calibri"/>
    </font>
    <font>
      <sz val="11.0"/>
      <color rgb="FF0F1115"/>
      <name val="Menlo"/>
    </font>
    <font>
      <sz val="11.0"/>
      <color rgb="FF0F1115"/>
      <name val="Arial"/>
    </font>
    <font>
      <color theme="1"/>
      <name val="Arial"/>
    </font>
    <font>
      <color rgb="FF0F1115"/>
      <name val="Menlo"/>
    </font>
  </fonts>
  <fills count="4">
    <fill>
      <patternFill patternType="none"/>
    </fill>
    <fill>
      <patternFill patternType="lightGray"/>
    </fill>
    <fill>
      <patternFill patternType="solid">
        <fgColor rgb="FF505050"/>
        <bgColor rgb="FF505050"/>
      </patternFill>
    </fill>
    <fill>
      <patternFill patternType="solid">
        <fgColor rgb="FFEBEEF2"/>
        <bgColor rgb="FFEBEE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3" xfId="0" applyAlignment="1" applyBorder="1" applyFill="1" applyFont="1" applyNumberFormat="1">
      <alignment vertical="bottom"/>
    </xf>
    <xf borderId="1" fillId="2" fontId="1" numFmtId="4" xfId="0" applyAlignment="1" applyBorder="1" applyFill="1" applyFont="1" applyNumberForma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3" fontId="4" numFmtId="3" xfId="0" applyFill="1" applyFont="1" applyNumberFormat="1"/>
    <xf borderId="0" fillId="3" fontId="5" numFmtId="3" xfId="0" applyFill="1" applyFont="1" applyNumberFormat="1"/>
    <xf borderId="0" fillId="0" fontId="6" numFmtId="4" xfId="0" applyFont="1" applyNumberFormat="1"/>
    <xf borderId="0" fillId="0" fontId="6" numFmtId="3" xfId="0" applyFont="1" applyNumberFormat="1"/>
    <xf borderId="0" fillId="3" fontId="7" numFmtId="3" xfId="0" applyFill="1" applyFont="1" applyNumberFormat="1"/>
    <xf borderId="0" fillId="3" fontId="4" numFmtId="0" xfId="0" applyFill="1" applyFont="1"/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3" width="11.88"/>
    <col customWidth="1" min="4" max="4" width="18.5"/>
    <col customWidth="1" min="5" max="5" width="11.88"/>
    <col customWidth="1" min="6" max="6" width="10.13"/>
    <col customWidth="1" min="7" max="7" width="16.25"/>
    <col customWidth="1" min="8" max="9" width="15.88"/>
    <col customWidth="1" min="10" max="10" width="14.5"/>
    <col customWidth="1" min="11" max="11" width="9.25"/>
    <col customWidth="1" min="12" max="12" width="14.88"/>
    <col customWidth="1" min="13" max="13" width="10.13"/>
    <col customWidth="1" min="14" max="14" width="10.5"/>
    <col customWidth="1" min="15" max="15" width="11.63"/>
    <col customWidth="1" min="16" max="16" width="14.38"/>
    <col customWidth="1" min="17" max="17" width="17.25"/>
    <col customWidth="1" min="18" max="18" width="21.63"/>
    <col customWidth="1" min="19" max="19" width="31.25"/>
    <col customWidth="1" min="20" max="20" width="16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/>
      <c r="V1" s="4"/>
      <c r="W1" s="4"/>
      <c r="X1" s="4"/>
      <c r="Y1" s="4"/>
      <c r="Z1" s="4"/>
      <c r="AA1" s="4"/>
      <c r="AB1" s="4"/>
      <c r="AC1" s="4"/>
      <c r="AD1" s="4"/>
    </row>
    <row r="2" ht="15.75" customHeight="1">
      <c r="A2" s="5" t="s">
        <v>20</v>
      </c>
      <c r="B2" s="6" t="s">
        <v>21</v>
      </c>
      <c r="C2" s="6">
        <f t="shared" ref="C2:C1398" si="1">RANDBETWEEN(1000, 9000)</f>
        <v>1911</v>
      </c>
      <c r="D2" s="6">
        <f t="shared" ref="D2:D11" si="2">RANDBETWEEN(0, 350)</f>
        <v>88</v>
      </c>
      <c r="E2" s="7">
        <v>0.0</v>
      </c>
      <c r="F2" s="8"/>
      <c r="G2" s="6">
        <f t="shared" ref="G2:G1398" si="3">RANDBETWEEN(1000, 9000)</f>
        <v>1478</v>
      </c>
      <c r="H2" s="6">
        <f t="shared" ref="H2:H1398" si="4">RANDBETWEEN(9000, 19000)</f>
        <v>14529</v>
      </c>
      <c r="I2" s="6">
        <f t="shared" ref="I2:I1398" si="5">RANDBETWEEN(19000, 29000)</f>
        <v>26570</v>
      </c>
      <c r="J2" s="6">
        <f t="shared" ref="J2:J1398" si="6">RANDBETWEEN(29000, 99000)</f>
        <v>86166</v>
      </c>
      <c r="K2" s="9"/>
      <c r="L2" s="9"/>
      <c r="M2" s="9"/>
      <c r="N2" s="9">
        <f t="shared" ref="N2:N1398" si="7">IF(C2=0, "N/A", J2/C2)</f>
        <v>45.08948195</v>
      </c>
      <c r="O2" s="10">
        <f t="shared" ref="O2:O1398" si="8">IF(G2=0, "∞", C2/(G2/30))</f>
        <v>38.78890392</v>
      </c>
      <c r="P2" s="9">
        <v>7.0</v>
      </c>
      <c r="Q2" s="11" t="str">
        <f t="shared" ref="Q2:Q1398" si="9">IF(P2="", "", IF(O2="∞", "Sin consumo", IF(O2 &lt; P2, "¡Compra YA!", "cobertura correcta")))</f>
        <v>cobertura correcta</v>
      </c>
      <c r="R2" s="12"/>
      <c r="S2" s="8"/>
      <c r="T2" s="12"/>
      <c r="U2" s="4"/>
      <c r="V2" s="4"/>
      <c r="W2" s="4"/>
      <c r="X2" s="4"/>
      <c r="Y2" s="4"/>
      <c r="Z2" s="4"/>
      <c r="AA2" s="4"/>
      <c r="AB2" s="4"/>
      <c r="AC2" s="4"/>
      <c r="AD2" s="4"/>
    </row>
    <row r="3" ht="15.75" customHeight="1">
      <c r="A3" s="5" t="s">
        <v>22</v>
      </c>
      <c r="B3" s="6" t="s">
        <v>23</v>
      </c>
      <c r="C3" s="6">
        <f t="shared" si="1"/>
        <v>2409</v>
      </c>
      <c r="D3" s="6">
        <f t="shared" si="2"/>
        <v>285</v>
      </c>
      <c r="E3" s="6">
        <f>RANDBETWEEN(0, 1000)</f>
        <v>413</v>
      </c>
      <c r="F3" s="8"/>
      <c r="G3" s="6">
        <f t="shared" si="3"/>
        <v>6653</v>
      </c>
      <c r="H3" s="6">
        <f t="shared" si="4"/>
        <v>11577</v>
      </c>
      <c r="I3" s="6">
        <f t="shared" si="5"/>
        <v>24686</v>
      </c>
      <c r="J3" s="6">
        <f t="shared" si="6"/>
        <v>53415</v>
      </c>
      <c r="K3" s="9"/>
      <c r="L3" s="9"/>
      <c r="M3" s="9"/>
      <c r="N3" s="9">
        <f t="shared" si="7"/>
        <v>22.17310087</v>
      </c>
      <c r="O3" s="10">
        <f t="shared" si="8"/>
        <v>10.86276868</v>
      </c>
      <c r="P3" s="9">
        <v>7.0</v>
      </c>
      <c r="Q3" s="11" t="str">
        <f t="shared" si="9"/>
        <v>cobertura correcta</v>
      </c>
      <c r="R3" s="12"/>
      <c r="S3" s="8"/>
      <c r="T3" s="12"/>
      <c r="U3" s="4"/>
      <c r="V3" s="4"/>
      <c r="W3" s="4"/>
      <c r="X3" s="4"/>
      <c r="Y3" s="4"/>
      <c r="Z3" s="4"/>
      <c r="AA3" s="4"/>
      <c r="AB3" s="4"/>
      <c r="AC3" s="4"/>
      <c r="AD3" s="4"/>
    </row>
    <row r="4" ht="15.75" customHeight="1">
      <c r="A4" s="5" t="s">
        <v>24</v>
      </c>
      <c r="B4" s="6" t="s">
        <v>25</v>
      </c>
      <c r="C4" s="6">
        <f t="shared" si="1"/>
        <v>5193</v>
      </c>
      <c r="D4" s="6">
        <f t="shared" si="2"/>
        <v>99</v>
      </c>
      <c r="E4" s="7">
        <v>0.0</v>
      </c>
      <c r="F4" s="8"/>
      <c r="G4" s="6">
        <f t="shared" si="3"/>
        <v>2640</v>
      </c>
      <c r="H4" s="6">
        <f t="shared" si="4"/>
        <v>12046</v>
      </c>
      <c r="I4" s="6">
        <f t="shared" si="5"/>
        <v>19521</v>
      </c>
      <c r="J4" s="6">
        <f t="shared" si="6"/>
        <v>94104</v>
      </c>
      <c r="K4" s="9"/>
      <c r="L4" s="9"/>
      <c r="M4" s="9"/>
      <c r="N4" s="9">
        <f t="shared" si="7"/>
        <v>18.12131716</v>
      </c>
      <c r="O4" s="10">
        <f t="shared" si="8"/>
        <v>59.01136364</v>
      </c>
      <c r="P4" s="9">
        <v>7.0</v>
      </c>
      <c r="Q4" s="11" t="str">
        <f t="shared" si="9"/>
        <v>cobertura correcta</v>
      </c>
      <c r="R4" s="12"/>
      <c r="S4" s="8"/>
      <c r="T4" s="12"/>
      <c r="U4" s="4"/>
      <c r="V4" s="4"/>
      <c r="W4" s="4"/>
      <c r="X4" s="4"/>
      <c r="Y4" s="4"/>
      <c r="Z4" s="4"/>
      <c r="AA4" s="4"/>
      <c r="AB4" s="4"/>
      <c r="AC4" s="4"/>
      <c r="AD4" s="4"/>
    </row>
    <row r="5" ht="15.75" customHeight="1">
      <c r="A5" s="5" t="s">
        <v>26</v>
      </c>
      <c r="B5" s="6" t="s">
        <v>27</v>
      </c>
      <c r="C5" s="6">
        <f t="shared" si="1"/>
        <v>1471</v>
      </c>
      <c r="D5" s="6">
        <f t="shared" si="2"/>
        <v>169</v>
      </c>
      <c r="E5" s="7">
        <v>0.0</v>
      </c>
      <c r="F5" s="8"/>
      <c r="G5" s="6">
        <f t="shared" si="3"/>
        <v>6595</v>
      </c>
      <c r="H5" s="6">
        <f t="shared" si="4"/>
        <v>13853</v>
      </c>
      <c r="I5" s="6">
        <f t="shared" si="5"/>
        <v>24248</v>
      </c>
      <c r="J5" s="6">
        <f t="shared" si="6"/>
        <v>64373</v>
      </c>
      <c r="K5" s="9"/>
      <c r="L5" s="9"/>
      <c r="M5" s="9"/>
      <c r="N5" s="9">
        <f t="shared" si="7"/>
        <v>43.76138681</v>
      </c>
      <c r="O5" s="10">
        <f t="shared" si="8"/>
        <v>6.691432904</v>
      </c>
      <c r="P5" s="9">
        <v>7.0</v>
      </c>
      <c r="Q5" s="11" t="str">
        <f t="shared" si="9"/>
        <v>¡Compra YA!</v>
      </c>
      <c r="R5" s="12"/>
      <c r="S5" s="8"/>
      <c r="T5" s="12"/>
      <c r="U5" s="4"/>
      <c r="V5" s="4"/>
      <c r="W5" s="4"/>
      <c r="X5" s="4"/>
      <c r="Y5" s="4"/>
      <c r="Z5" s="4"/>
      <c r="AA5" s="4"/>
      <c r="AB5" s="4"/>
      <c r="AC5" s="4"/>
      <c r="AD5" s="4"/>
    </row>
    <row r="6" ht="15.75" customHeight="1">
      <c r="A6" s="5" t="s">
        <v>28</v>
      </c>
      <c r="B6" s="6" t="s">
        <v>29</v>
      </c>
      <c r="C6" s="6">
        <f t="shared" si="1"/>
        <v>2856</v>
      </c>
      <c r="D6" s="6">
        <f t="shared" si="2"/>
        <v>33</v>
      </c>
      <c r="E6" s="7">
        <v>0.0</v>
      </c>
      <c r="F6" s="8"/>
      <c r="G6" s="6">
        <f t="shared" si="3"/>
        <v>3995</v>
      </c>
      <c r="H6" s="6">
        <f t="shared" si="4"/>
        <v>12006</v>
      </c>
      <c r="I6" s="6">
        <f t="shared" si="5"/>
        <v>25955</v>
      </c>
      <c r="J6" s="6">
        <f t="shared" si="6"/>
        <v>35775</v>
      </c>
      <c r="K6" s="9"/>
      <c r="L6" s="9"/>
      <c r="M6" s="9"/>
      <c r="N6" s="9">
        <f t="shared" si="7"/>
        <v>12.5262605</v>
      </c>
      <c r="O6" s="10">
        <f t="shared" si="8"/>
        <v>21.44680851</v>
      </c>
      <c r="P6" s="9">
        <v>7.0</v>
      </c>
      <c r="Q6" s="11" t="str">
        <f t="shared" si="9"/>
        <v>cobertura correcta</v>
      </c>
      <c r="R6" s="12"/>
      <c r="S6" s="8"/>
      <c r="T6" s="12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5" t="s">
        <v>30</v>
      </c>
      <c r="B7" s="6" t="s">
        <v>31</v>
      </c>
      <c r="C7" s="6">
        <f t="shared" si="1"/>
        <v>5792</v>
      </c>
      <c r="D7" s="6">
        <f t="shared" si="2"/>
        <v>169</v>
      </c>
      <c r="E7" s="6">
        <f t="shared" ref="E7:E10" si="10">RANDBETWEEN(0, 1000)</f>
        <v>11</v>
      </c>
      <c r="F7" s="8"/>
      <c r="G7" s="6">
        <f t="shared" si="3"/>
        <v>5541</v>
      </c>
      <c r="H7" s="6">
        <f t="shared" si="4"/>
        <v>17820</v>
      </c>
      <c r="I7" s="6">
        <f t="shared" si="5"/>
        <v>21021</v>
      </c>
      <c r="J7" s="6">
        <f t="shared" si="6"/>
        <v>38088</v>
      </c>
      <c r="K7" s="9"/>
      <c r="L7" s="9"/>
      <c r="M7" s="9"/>
      <c r="N7" s="9">
        <f t="shared" si="7"/>
        <v>6.575966851</v>
      </c>
      <c r="O7" s="10">
        <f t="shared" si="8"/>
        <v>31.35896048</v>
      </c>
      <c r="P7" s="9">
        <v>7.0</v>
      </c>
      <c r="Q7" s="11" t="str">
        <f t="shared" si="9"/>
        <v>cobertura correcta</v>
      </c>
      <c r="R7" s="12"/>
      <c r="S7" s="8"/>
      <c r="T7" s="12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.75" customHeight="1">
      <c r="A8" s="5" t="s">
        <v>32</v>
      </c>
      <c r="B8" s="6" t="s">
        <v>33</v>
      </c>
      <c r="C8" s="6">
        <f t="shared" si="1"/>
        <v>1915</v>
      </c>
      <c r="D8" s="6">
        <f t="shared" si="2"/>
        <v>334</v>
      </c>
      <c r="E8" s="6">
        <f t="shared" si="10"/>
        <v>174</v>
      </c>
      <c r="F8" s="8"/>
      <c r="G8" s="6">
        <f t="shared" si="3"/>
        <v>5787</v>
      </c>
      <c r="H8" s="6">
        <f t="shared" si="4"/>
        <v>10121</v>
      </c>
      <c r="I8" s="6">
        <f t="shared" si="5"/>
        <v>25535</v>
      </c>
      <c r="J8" s="6">
        <f t="shared" si="6"/>
        <v>51754</v>
      </c>
      <c r="K8" s="9"/>
      <c r="L8" s="9"/>
      <c r="M8" s="9"/>
      <c r="N8" s="9">
        <f t="shared" si="7"/>
        <v>27.02558747</v>
      </c>
      <c r="O8" s="10">
        <f t="shared" si="8"/>
        <v>9.927423536</v>
      </c>
      <c r="P8" s="9">
        <v>20.0</v>
      </c>
      <c r="Q8" s="11" t="str">
        <f t="shared" si="9"/>
        <v>¡Compra YA!</v>
      </c>
      <c r="R8" s="12"/>
      <c r="S8" s="8"/>
      <c r="T8" s="12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.75" customHeight="1">
      <c r="A9" s="5" t="s">
        <v>34</v>
      </c>
      <c r="B9" s="6" t="s">
        <v>35</v>
      </c>
      <c r="C9" s="6">
        <f t="shared" si="1"/>
        <v>1506</v>
      </c>
      <c r="D9" s="6">
        <f t="shared" si="2"/>
        <v>15</v>
      </c>
      <c r="E9" s="6">
        <f t="shared" si="10"/>
        <v>735</v>
      </c>
      <c r="F9" s="8"/>
      <c r="G9" s="6">
        <f t="shared" si="3"/>
        <v>8941</v>
      </c>
      <c r="H9" s="6">
        <f t="shared" si="4"/>
        <v>16453</v>
      </c>
      <c r="I9" s="6">
        <f t="shared" si="5"/>
        <v>21072</v>
      </c>
      <c r="J9" s="6">
        <f t="shared" si="6"/>
        <v>90646</v>
      </c>
      <c r="K9" s="9"/>
      <c r="L9" s="9"/>
      <c r="M9" s="9"/>
      <c r="N9" s="9">
        <f t="shared" si="7"/>
        <v>60.18990704</v>
      </c>
      <c r="O9" s="10">
        <f t="shared" si="8"/>
        <v>5.053126049</v>
      </c>
      <c r="P9" s="9">
        <v>20.0</v>
      </c>
      <c r="Q9" s="11" t="str">
        <f t="shared" si="9"/>
        <v>¡Compra YA!</v>
      </c>
      <c r="R9" s="12"/>
      <c r="S9" s="8"/>
      <c r="T9" s="12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5.75" customHeight="1">
      <c r="A10" s="5" t="s">
        <v>36</v>
      </c>
      <c r="B10" s="6" t="s">
        <v>37</v>
      </c>
      <c r="C10" s="6">
        <f t="shared" si="1"/>
        <v>5335</v>
      </c>
      <c r="D10" s="6">
        <f t="shared" si="2"/>
        <v>255</v>
      </c>
      <c r="E10" s="6">
        <f t="shared" si="10"/>
        <v>992</v>
      </c>
      <c r="F10" s="8"/>
      <c r="G10" s="6">
        <f t="shared" si="3"/>
        <v>1670</v>
      </c>
      <c r="H10" s="6">
        <f t="shared" si="4"/>
        <v>13545</v>
      </c>
      <c r="I10" s="6">
        <f t="shared" si="5"/>
        <v>20048</v>
      </c>
      <c r="J10" s="6">
        <f t="shared" si="6"/>
        <v>54519</v>
      </c>
      <c r="K10" s="9"/>
      <c r="L10" s="9"/>
      <c r="M10" s="9"/>
      <c r="N10" s="9">
        <f t="shared" si="7"/>
        <v>10.21911903</v>
      </c>
      <c r="O10" s="10">
        <f t="shared" si="8"/>
        <v>95.83832335</v>
      </c>
      <c r="P10" s="9">
        <v>20.0</v>
      </c>
      <c r="Q10" s="11" t="str">
        <f t="shared" si="9"/>
        <v>cobertura correcta</v>
      </c>
      <c r="R10" s="12"/>
      <c r="S10" s="8"/>
      <c r="T10" s="12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5.75" customHeight="1">
      <c r="A11" s="5" t="s">
        <v>38</v>
      </c>
      <c r="B11" s="6" t="s">
        <v>39</v>
      </c>
      <c r="C11" s="6">
        <f t="shared" si="1"/>
        <v>1644</v>
      </c>
      <c r="D11" s="6">
        <f t="shared" si="2"/>
        <v>110</v>
      </c>
      <c r="E11" s="7">
        <v>0.0</v>
      </c>
      <c r="F11" s="8"/>
      <c r="G11" s="6">
        <f t="shared" si="3"/>
        <v>6282</v>
      </c>
      <c r="H11" s="6">
        <f t="shared" si="4"/>
        <v>9978</v>
      </c>
      <c r="I11" s="6">
        <f t="shared" si="5"/>
        <v>24468</v>
      </c>
      <c r="J11" s="6">
        <f t="shared" si="6"/>
        <v>58271</v>
      </c>
      <c r="K11" s="9"/>
      <c r="L11" s="9"/>
      <c r="M11" s="9"/>
      <c r="N11" s="9">
        <f t="shared" si="7"/>
        <v>35.4446472</v>
      </c>
      <c r="O11" s="10">
        <f t="shared" si="8"/>
        <v>7.851002865</v>
      </c>
      <c r="P11" s="9">
        <v>20.0</v>
      </c>
      <c r="Q11" s="11" t="str">
        <f t="shared" si="9"/>
        <v>¡Compra YA!</v>
      </c>
      <c r="R11" s="12"/>
      <c r="S11" s="8"/>
      <c r="T11" s="12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5.75" customHeight="1">
      <c r="A12" s="5" t="s">
        <v>40</v>
      </c>
      <c r="B12" s="6" t="s">
        <v>41</v>
      </c>
      <c r="C12" s="6">
        <f t="shared" si="1"/>
        <v>8812</v>
      </c>
      <c r="D12" s="7">
        <v>0.0</v>
      </c>
      <c r="E12" s="6">
        <f t="shared" ref="E12:E13" si="11">RANDBETWEEN(0, 1000)</f>
        <v>929</v>
      </c>
      <c r="F12" s="8"/>
      <c r="G12" s="6">
        <f t="shared" si="3"/>
        <v>6974</v>
      </c>
      <c r="H12" s="6">
        <f t="shared" si="4"/>
        <v>9598</v>
      </c>
      <c r="I12" s="6">
        <f t="shared" si="5"/>
        <v>25737</v>
      </c>
      <c r="J12" s="6">
        <f t="shared" si="6"/>
        <v>92227</v>
      </c>
      <c r="K12" s="9"/>
      <c r="L12" s="9"/>
      <c r="M12" s="9"/>
      <c r="N12" s="9">
        <f t="shared" si="7"/>
        <v>10.466069</v>
      </c>
      <c r="O12" s="10">
        <f t="shared" si="8"/>
        <v>37.90650989</v>
      </c>
      <c r="P12" s="9">
        <v>20.0</v>
      </c>
      <c r="Q12" s="11" t="str">
        <f t="shared" si="9"/>
        <v>cobertura correcta</v>
      </c>
      <c r="R12" s="12"/>
      <c r="S12" s="8"/>
      <c r="T12" s="12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5.75" customHeight="1">
      <c r="A13" s="5" t="s">
        <v>42</v>
      </c>
      <c r="B13" s="6" t="s">
        <v>43</v>
      </c>
      <c r="C13" s="6">
        <f t="shared" si="1"/>
        <v>6262</v>
      </c>
      <c r="D13" s="6">
        <f t="shared" ref="D13:D60" si="12">RANDBETWEEN(0, 350)</f>
        <v>274</v>
      </c>
      <c r="E13" s="6">
        <f t="shared" si="11"/>
        <v>923</v>
      </c>
      <c r="F13" s="8"/>
      <c r="G13" s="6">
        <f t="shared" si="3"/>
        <v>5175</v>
      </c>
      <c r="H13" s="6">
        <f t="shared" si="4"/>
        <v>17073</v>
      </c>
      <c r="I13" s="6">
        <f t="shared" si="5"/>
        <v>25661</v>
      </c>
      <c r="J13" s="6">
        <f t="shared" si="6"/>
        <v>31065</v>
      </c>
      <c r="K13" s="9"/>
      <c r="L13" s="9"/>
      <c r="M13" s="9"/>
      <c r="N13" s="9">
        <f t="shared" si="7"/>
        <v>4.96087512</v>
      </c>
      <c r="O13" s="10">
        <f t="shared" si="8"/>
        <v>36.30144928</v>
      </c>
      <c r="P13" s="9">
        <v>20.0</v>
      </c>
      <c r="Q13" s="11" t="str">
        <f t="shared" si="9"/>
        <v>cobertura correcta</v>
      </c>
      <c r="R13" s="12"/>
      <c r="S13" s="8"/>
      <c r="T13" s="12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5.75" customHeight="1">
      <c r="A14" s="5" t="s">
        <v>44</v>
      </c>
      <c r="B14" s="6" t="s">
        <v>45</v>
      </c>
      <c r="C14" s="6">
        <f t="shared" si="1"/>
        <v>8352</v>
      </c>
      <c r="D14" s="6">
        <f t="shared" si="12"/>
        <v>263</v>
      </c>
      <c r="E14" s="7">
        <v>0.0</v>
      </c>
      <c r="F14" s="8"/>
      <c r="G14" s="6">
        <f t="shared" si="3"/>
        <v>3224</v>
      </c>
      <c r="H14" s="6">
        <f t="shared" si="4"/>
        <v>14383</v>
      </c>
      <c r="I14" s="6">
        <f t="shared" si="5"/>
        <v>21666</v>
      </c>
      <c r="J14" s="6">
        <f t="shared" si="6"/>
        <v>60790</v>
      </c>
      <c r="K14" s="9"/>
      <c r="L14" s="9"/>
      <c r="M14" s="9"/>
      <c r="N14" s="9">
        <f t="shared" si="7"/>
        <v>7.278496169</v>
      </c>
      <c r="O14" s="10">
        <f t="shared" si="8"/>
        <v>77.71712159</v>
      </c>
      <c r="P14" s="9">
        <v>20.0</v>
      </c>
      <c r="Q14" s="11" t="str">
        <f t="shared" si="9"/>
        <v>cobertura correcta</v>
      </c>
      <c r="R14" s="12"/>
      <c r="S14" s="8"/>
      <c r="T14" s="12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5.75" customHeight="1">
      <c r="A15" s="5" t="s">
        <v>46</v>
      </c>
      <c r="B15" s="6" t="s">
        <v>47</v>
      </c>
      <c r="C15" s="6">
        <f t="shared" si="1"/>
        <v>7660</v>
      </c>
      <c r="D15" s="6">
        <f t="shared" si="12"/>
        <v>63</v>
      </c>
      <c r="E15" s="6">
        <f t="shared" ref="E15:E16" si="13">RANDBETWEEN(0, 1000)</f>
        <v>676</v>
      </c>
      <c r="F15" s="8"/>
      <c r="G15" s="6">
        <f t="shared" si="3"/>
        <v>2833</v>
      </c>
      <c r="H15" s="6">
        <f t="shared" si="4"/>
        <v>15567</v>
      </c>
      <c r="I15" s="6">
        <f t="shared" si="5"/>
        <v>21813</v>
      </c>
      <c r="J15" s="6">
        <f t="shared" si="6"/>
        <v>65250</v>
      </c>
      <c r="K15" s="9"/>
      <c r="L15" s="9"/>
      <c r="M15" s="9"/>
      <c r="N15" s="9">
        <f t="shared" si="7"/>
        <v>8.518276762</v>
      </c>
      <c r="O15" s="10">
        <f t="shared" si="8"/>
        <v>81.11542534</v>
      </c>
      <c r="P15" s="9">
        <v>20.0</v>
      </c>
      <c r="Q15" s="11" t="str">
        <f t="shared" si="9"/>
        <v>cobertura correcta</v>
      </c>
      <c r="R15" s="12"/>
      <c r="S15" s="8"/>
      <c r="T15" s="12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75" customHeight="1">
      <c r="A16" s="5" t="s">
        <v>48</v>
      </c>
      <c r="B16" s="6" t="s">
        <v>49</v>
      </c>
      <c r="C16" s="6">
        <f t="shared" si="1"/>
        <v>4816</v>
      </c>
      <c r="D16" s="6">
        <f t="shared" si="12"/>
        <v>176</v>
      </c>
      <c r="E16" s="6">
        <f t="shared" si="13"/>
        <v>997</v>
      </c>
      <c r="F16" s="8"/>
      <c r="G16" s="6">
        <f t="shared" si="3"/>
        <v>7341</v>
      </c>
      <c r="H16" s="6">
        <f t="shared" si="4"/>
        <v>11478</v>
      </c>
      <c r="I16" s="6">
        <f t="shared" si="5"/>
        <v>24791</v>
      </c>
      <c r="J16" s="6">
        <f t="shared" si="6"/>
        <v>89930</v>
      </c>
      <c r="K16" s="9"/>
      <c r="L16" s="9"/>
      <c r="M16" s="9"/>
      <c r="N16" s="9">
        <f t="shared" si="7"/>
        <v>18.67317276</v>
      </c>
      <c r="O16" s="10">
        <f t="shared" si="8"/>
        <v>19.68124234</v>
      </c>
      <c r="P16" s="9">
        <v>20.0</v>
      </c>
      <c r="Q16" s="11" t="str">
        <f t="shared" si="9"/>
        <v>¡Compra YA!</v>
      </c>
      <c r="R16" s="12"/>
      <c r="S16" s="8"/>
      <c r="T16" s="12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75" customHeight="1">
      <c r="A17" s="5" t="s">
        <v>50</v>
      </c>
      <c r="B17" s="6" t="s">
        <v>51</v>
      </c>
      <c r="C17" s="6">
        <f t="shared" si="1"/>
        <v>5336</v>
      </c>
      <c r="D17" s="6">
        <f t="shared" si="12"/>
        <v>167</v>
      </c>
      <c r="E17" s="7">
        <v>0.0</v>
      </c>
      <c r="F17" s="8"/>
      <c r="G17" s="6">
        <f t="shared" si="3"/>
        <v>2892</v>
      </c>
      <c r="H17" s="6">
        <f t="shared" si="4"/>
        <v>10084</v>
      </c>
      <c r="I17" s="6">
        <f t="shared" si="5"/>
        <v>25345</v>
      </c>
      <c r="J17" s="6">
        <f t="shared" si="6"/>
        <v>46675</v>
      </c>
      <c r="K17" s="9"/>
      <c r="L17" s="9"/>
      <c r="M17" s="9"/>
      <c r="N17" s="9">
        <f t="shared" si="7"/>
        <v>8.747188906</v>
      </c>
      <c r="O17" s="10">
        <f t="shared" si="8"/>
        <v>55.3526971</v>
      </c>
      <c r="P17" s="9">
        <v>20.0</v>
      </c>
      <c r="Q17" s="11" t="str">
        <f t="shared" si="9"/>
        <v>cobertura correcta</v>
      </c>
      <c r="R17" s="12"/>
      <c r="S17" s="8"/>
      <c r="T17" s="12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15.75" customHeight="1">
      <c r="A18" s="5" t="s">
        <v>52</v>
      </c>
      <c r="B18" s="6" t="s">
        <v>53</v>
      </c>
      <c r="C18" s="6">
        <f t="shared" si="1"/>
        <v>2365</v>
      </c>
      <c r="D18" s="6">
        <f t="shared" si="12"/>
        <v>235</v>
      </c>
      <c r="E18" s="7">
        <v>0.0</v>
      </c>
      <c r="F18" s="8"/>
      <c r="G18" s="6">
        <f t="shared" si="3"/>
        <v>7262</v>
      </c>
      <c r="H18" s="6">
        <f t="shared" si="4"/>
        <v>17318</v>
      </c>
      <c r="I18" s="6">
        <f t="shared" si="5"/>
        <v>25817</v>
      </c>
      <c r="J18" s="6">
        <f t="shared" si="6"/>
        <v>72329</v>
      </c>
      <c r="K18" s="9"/>
      <c r="L18" s="9"/>
      <c r="M18" s="9"/>
      <c r="N18" s="9">
        <f t="shared" si="7"/>
        <v>30.58308668</v>
      </c>
      <c r="O18" s="10">
        <f t="shared" si="8"/>
        <v>9.770035803</v>
      </c>
      <c r="P18" s="9">
        <v>20.0</v>
      </c>
      <c r="Q18" s="11" t="str">
        <f t="shared" si="9"/>
        <v>¡Compra YA!</v>
      </c>
      <c r="R18" s="12"/>
      <c r="S18" s="8"/>
      <c r="T18" s="12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15.75" customHeight="1">
      <c r="A19" s="5" t="s">
        <v>54</v>
      </c>
      <c r="B19" s="6" t="s">
        <v>55</v>
      </c>
      <c r="C19" s="6">
        <f t="shared" si="1"/>
        <v>3623</v>
      </c>
      <c r="D19" s="6">
        <f t="shared" si="12"/>
        <v>20</v>
      </c>
      <c r="E19" s="7">
        <v>0.0</v>
      </c>
      <c r="F19" s="8"/>
      <c r="G19" s="6">
        <f t="shared" si="3"/>
        <v>1817</v>
      </c>
      <c r="H19" s="6">
        <f t="shared" si="4"/>
        <v>17212</v>
      </c>
      <c r="I19" s="6">
        <f t="shared" si="5"/>
        <v>26321</v>
      </c>
      <c r="J19" s="6">
        <f t="shared" si="6"/>
        <v>63370</v>
      </c>
      <c r="K19" s="9"/>
      <c r="L19" s="9"/>
      <c r="M19" s="9"/>
      <c r="N19" s="9">
        <f t="shared" si="7"/>
        <v>17.49102953</v>
      </c>
      <c r="O19" s="10">
        <f t="shared" si="8"/>
        <v>59.81838195</v>
      </c>
      <c r="P19" s="9">
        <v>20.0</v>
      </c>
      <c r="Q19" s="11" t="str">
        <f t="shared" si="9"/>
        <v>cobertura correcta</v>
      </c>
      <c r="R19" s="12"/>
      <c r="S19" s="8"/>
      <c r="T19" s="12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15.75" customHeight="1">
      <c r="A20" s="5" t="s">
        <v>56</v>
      </c>
      <c r="B20" s="6" t="s">
        <v>57</v>
      </c>
      <c r="C20" s="6">
        <f t="shared" si="1"/>
        <v>3394</v>
      </c>
      <c r="D20" s="6">
        <f t="shared" si="12"/>
        <v>84</v>
      </c>
      <c r="E20" s="7">
        <v>0.0</v>
      </c>
      <c r="F20" s="8"/>
      <c r="G20" s="6">
        <f t="shared" si="3"/>
        <v>8265</v>
      </c>
      <c r="H20" s="6">
        <f t="shared" si="4"/>
        <v>13416</v>
      </c>
      <c r="I20" s="6">
        <f t="shared" si="5"/>
        <v>24125</v>
      </c>
      <c r="J20" s="6">
        <f t="shared" si="6"/>
        <v>84819</v>
      </c>
      <c r="K20" s="9"/>
      <c r="L20" s="9"/>
      <c r="M20" s="9"/>
      <c r="N20" s="9">
        <f t="shared" si="7"/>
        <v>24.99086623</v>
      </c>
      <c r="O20" s="10">
        <f t="shared" si="8"/>
        <v>12.31941924</v>
      </c>
      <c r="P20" s="9">
        <v>20.0</v>
      </c>
      <c r="Q20" s="11" t="str">
        <f t="shared" si="9"/>
        <v>¡Compra YA!</v>
      </c>
      <c r="R20" s="12"/>
      <c r="S20" s="8"/>
      <c r="T20" s="12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15.75" customHeight="1">
      <c r="A21" s="5" t="s">
        <v>58</v>
      </c>
      <c r="B21" s="6" t="s">
        <v>59</v>
      </c>
      <c r="C21" s="6">
        <f t="shared" si="1"/>
        <v>7897</v>
      </c>
      <c r="D21" s="6">
        <f t="shared" si="12"/>
        <v>105</v>
      </c>
      <c r="E21" s="7">
        <v>0.0</v>
      </c>
      <c r="F21" s="8"/>
      <c r="G21" s="6">
        <f t="shared" si="3"/>
        <v>7703</v>
      </c>
      <c r="H21" s="6">
        <f t="shared" si="4"/>
        <v>14654</v>
      </c>
      <c r="I21" s="6">
        <f t="shared" si="5"/>
        <v>23009</v>
      </c>
      <c r="J21" s="6">
        <f t="shared" si="6"/>
        <v>59043</v>
      </c>
      <c r="K21" s="9"/>
      <c r="L21" s="9"/>
      <c r="M21" s="9"/>
      <c r="N21" s="9">
        <f t="shared" si="7"/>
        <v>7.476636697</v>
      </c>
      <c r="O21" s="10">
        <f t="shared" si="8"/>
        <v>30.75554979</v>
      </c>
      <c r="P21" s="9">
        <v>20.0</v>
      </c>
      <c r="Q21" s="11" t="str">
        <f t="shared" si="9"/>
        <v>cobertura correcta</v>
      </c>
      <c r="R21" s="12"/>
      <c r="S21" s="8"/>
      <c r="T21" s="12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5.75" customHeight="1">
      <c r="A22" s="5" t="s">
        <v>60</v>
      </c>
      <c r="B22" s="6" t="s">
        <v>61</v>
      </c>
      <c r="C22" s="6">
        <f t="shared" si="1"/>
        <v>1511</v>
      </c>
      <c r="D22" s="6">
        <f t="shared" si="12"/>
        <v>246</v>
      </c>
      <c r="E22" s="7">
        <v>0.0</v>
      </c>
      <c r="F22" s="8"/>
      <c r="G22" s="6">
        <f t="shared" si="3"/>
        <v>6916</v>
      </c>
      <c r="H22" s="6">
        <f t="shared" si="4"/>
        <v>17263</v>
      </c>
      <c r="I22" s="6">
        <f t="shared" si="5"/>
        <v>19002</v>
      </c>
      <c r="J22" s="6">
        <f t="shared" si="6"/>
        <v>55679</v>
      </c>
      <c r="K22" s="9"/>
      <c r="L22" s="9"/>
      <c r="M22" s="9"/>
      <c r="N22" s="9">
        <f t="shared" si="7"/>
        <v>36.84910655</v>
      </c>
      <c r="O22" s="10">
        <f t="shared" si="8"/>
        <v>6.554366686</v>
      </c>
      <c r="P22" s="9">
        <v>20.0</v>
      </c>
      <c r="Q22" s="11" t="str">
        <f t="shared" si="9"/>
        <v>¡Compra YA!</v>
      </c>
      <c r="R22" s="12"/>
      <c r="S22" s="8"/>
      <c r="T22" s="12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15.75" customHeight="1">
      <c r="A23" s="5" t="s">
        <v>62</v>
      </c>
      <c r="B23" s="6" t="s">
        <v>63</v>
      </c>
      <c r="C23" s="6">
        <f t="shared" si="1"/>
        <v>3395</v>
      </c>
      <c r="D23" s="6">
        <f t="shared" si="12"/>
        <v>193</v>
      </c>
      <c r="E23" s="6">
        <f>RANDBETWEEN(0, 1000)</f>
        <v>399</v>
      </c>
      <c r="F23" s="8"/>
      <c r="G23" s="6">
        <f t="shared" si="3"/>
        <v>5764</v>
      </c>
      <c r="H23" s="6">
        <f t="shared" si="4"/>
        <v>17960</v>
      </c>
      <c r="I23" s="6">
        <f t="shared" si="5"/>
        <v>26928</v>
      </c>
      <c r="J23" s="6">
        <f t="shared" si="6"/>
        <v>48714</v>
      </c>
      <c r="K23" s="9"/>
      <c r="L23" s="9"/>
      <c r="M23" s="9"/>
      <c r="N23" s="9">
        <f t="shared" si="7"/>
        <v>14.34874816</v>
      </c>
      <c r="O23" s="10">
        <f t="shared" si="8"/>
        <v>17.67002082</v>
      </c>
      <c r="P23" s="9">
        <v>20.0</v>
      </c>
      <c r="Q23" s="11" t="str">
        <f t="shared" si="9"/>
        <v>¡Compra YA!</v>
      </c>
      <c r="R23" s="12"/>
      <c r="S23" s="8"/>
      <c r="T23" s="12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15.75" customHeight="1">
      <c r="A24" s="5" t="s">
        <v>64</v>
      </c>
      <c r="B24" s="6" t="s">
        <v>65</v>
      </c>
      <c r="C24" s="6">
        <f t="shared" si="1"/>
        <v>3654</v>
      </c>
      <c r="D24" s="6">
        <f t="shared" si="12"/>
        <v>147</v>
      </c>
      <c r="E24" s="7">
        <v>0.0</v>
      </c>
      <c r="F24" s="8"/>
      <c r="G24" s="6">
        <f t="shared" si="3"/>
        <v>2963</v>
      </c>
      <c r="H24" s="6">
        <f t="shared" si="4"/>
        <v>17795</v>
      </c>
      <c r="I24" s="6">
        <f t="shared" si="5"/>
        <v>21445</v>
      </c>
      <c r="J24" s="6">
        <f t="shared" si="6"/>
        <v>92612</v>
      </c>
      <c r="K24" s="9"/>
      <c r="L24" s="9"/>
      <c r="M24" s="9"/>
      <c r="N24" s="9">
        <f t="shared" si="7"/>
        <v>25.34537493</v>
      </c>
      <c r="O24" s="10">
        <f t="shared" si="8"/>
        <v>36.99628755</v>
      </c>
      <c r="P24" s="9">
        <v>20.0</v>
      </c>
      <c r="Q24" s="11" t="str">
        <f t="shared" si="9"/>
        <v>cobertura correcta</v>
      </c>
      <c r="R24" s="12"/>
      <c r="S24" s="8"/>
      <c r="T24" s="12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15.75" customHeight="1">
      <c r="A25" s="5" t="s">
        <v>66</v>
      </c>
      <c r="B25" s="6" t="s">
        <v>67</v>
      </c>
      <c r="C25" s="6">
        <f t="shared" si="1"/>
        <v>4376</v>
      </c>
      <c r="D25" s="6">
        <f t="shared" si="12"/>
        <v>158</v>
      </c>
      <c r="E25" s="7">
        <v>0.0</v>
      </c>
      <c r="F25" s="8"/>
      <c r="G25" s="6">
        <f t="shared" si="3"/>
        <v>2273</v>
      </c>
      <c r="H25" s="6">
        <f t="shared" si="4"/>
        <v>9847</v>
      </c>
      <c r="I25" s="6">
        <f t="shared" si="5"/>
        <v>25048</v>
      </c>
      <c r="J25" s="6">
        <f t="shared" si="6"/>
        <v>37260</v>
      </c>
      <c r="K25" s="9"/>
      <c r="L25" s="9"/>
      <c r="M25" s="9"/>
      <c r="N25" s="9">
        <f t="shared" si="7"/>
        <v>8.514625229</v>
      </c>
      <c r="O25" s="10">
        <f t="shared" si="8"/>
        <v>57.75626925</v>
      </c>
      <c r="P25" s="9">
        <v>20.0</v>
      </c>
      <c r="Q25" s="11" t="str">
        <f t="shared" si="9"/>
        <v>cobertura correcta</v>
      </c>
      <c r="R25" s="12"/>
      <c r="S25" s="8"/>
      <c r="T25" s="12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15.75" customHeight="1">
      <c r="A26" s="5" t="s">
        <v>68</v>
      </c>
      <c r="B26" s="6" t="s">
        <v>69</v>
      </c>
      <c r="C26" s="6">
        <f t="shared" si="1"/>
        <v>2238</v>
      </c>
      <c r="D26" s="6">
        <f t="shared" si="12"/>
        <v>169</v>
      </c>
      <c r="E26" s="7">
        <v>0.0</v>
      </c>
      <c r="F26" s="8"/>
      <c r="G26" s="6">
        <f t="shared" si="3"/>
        <v>7875</v>
      </c>
      <c r="H26" s="6">
        <f t="shared" si="4"/>
        <v>17862</v>
      </c>
      <c r="I26" s="6">
        <f t="shared" si="5"/>
        <v>21440</v>
      </c>
      <c r="J26" s="6">
        <f t="shared" si="6"/>
        <v>39192</v>
      </c>
      <c r="K26" s="9"/>
      <c r="L26" s="9"/>
      <c r="M26" s="9"/>
      <c r="N26" s="9">
        <f t="shared" si="7"/>
        <v>17.51206434</v>
      </c>
      <c r="O26" s="10">
        <f t="shared" si="8"/>
        <v>8.525714286</v>
      </c>
      <c r="P26" s="9">
        <v>20.0</v>
      </c>
      <c r="Q26" s="11" t="str">
        <f t="shared" si="9"/>
        <v>¡Compra YA!</v>
      </c>
      <c r="R26" s="12"/>
      <c r="S26" s="8"/>
      <c r="T26" s="12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15.75" customHeight="1">
      <c r="A27" s="5" t="s">
        <v>70</v>
      </c>
      <c r="B27" s="6" t="s">
        <v>71</v>
      </c>
      <c r="C27" s="6">
        <f t="shared" si="1"/>
        <v>8254</v>
      </c>
      <c r="D27" s="6">
        <f t="shared" si="12"/>
        <v>317</v>
      </c>
      <c r="E27" s="7">
        <v>0.0</v>
      </c>
      <c r="F27" s="8"/>
      <c r="G27" s="6">
        <f t="shared" si="3"/>
        <v>4013</v>
      </c>
      <c r="H27" s="6">
        <f t="shared" si="4"/>
        <v>13120</v>
      </c>
      <c r="I27" s="6">
        <f t="shared" si="5"/>
        <v>22456</v>
      </c>
      <c r="J27" s="6">
        <f t="shared" si="6"/>
        <v>43688</v>
      </c>
      <c r="K27" s="9"/>
      <c r="L27" s="9"/>
      <c r="M27" s="9"/>
      <c r="N27" s="9">
        <f t="shared" si="7"/>
        <v>5.292948873</v>
      </c>
      <c r="O27" s="10">
        <f t="shared" si="8"/>
        <v>61.7044605</v>
      </c>
      <c r="P27" s="9">
        <v>20.0</v>
      </c>
      <c r="Q27" s="11" t="str">
        <f t="shared" si="9"/>
        <v>cobertura correcta</v>
      </c>
      <c r="R27" s="12"/>
      <c r="S27" s="8"/>
      <c r="T27" s="12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5.75" customHeight="1">
      <c r="A28" s="5" t="s">
        <v>72</v>
      </c>
      <c r="B28" s="6" t="s">
        <v>73</v>
      </c>
      <c r="C28" s="6">
        <f t="shared" si="1"/>
        <v>8812</v>
      </c>
      <c r="D28" s="6">
        <f t="shared" si="12"/>
        <v>282</v>
      </c>
      <c r="E28" s="7">
        <v>0.0</v>
      </c>
      <c r="F28" s="8"/>
      <c r="G28" s="6">
        <f t="shared" si="3"/>
        <v>7859</v>
      </c>
      <c r="H28" s="6">
        <f t="shared" si="4"/>
        <v>13395</v>
      </c>
      <c r="I28" s="6">
        <f t="shared" si="5"/>
        <v>19779</v>
      </c>
      <c r="J28" s="6">
        <f t="shared" si="6"/>
        <v>76990</v>
      </c>
      <c r="K28" s="9"/>
      <c r="L28" s="9"/>
      <c r="M28" s="9"/>
      <c r="N28" s="9">
        <f t="shared" si="7"/>
        <v>8.736949614</v>
      </c>
      <c r="O28" s="10">
        <f t="shared" si="8"/>
        <v>33.63786741</v>
      </c>
      <c r="P28" s="9">
        <v>20.0</v>
      </c>
      <c r="Q28" s="11" t="str">
        <f t="shared" si="9"/>
        <v>cobertura correcta</v>
      </c>
      <c r="R28" s="12"/>
      <c r="S28" s="8"/>
      <c r="T28" s="12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15.75" customHeight="1">
      <c r="A29" s="5" t="s">
        <v>74</v>
      </c>
      <c r="B29" s="6" t="s">
        <v>75</v>
      </c>
      <c r="C29" s="6">
        <f t="shared" si="1"/>
        <v>7152</v>
      </c>
      <c r="D29" s="6">
        <f t="shared" si="12"/>
        <v>232</v>
      </c>
      <c r="E29" s="7">
        <v>0.0</v>
      </c>
      <c r="F29" s="8"/>
      <c r="G29" s="6">
        <f t="shared" si="3"/>
        <v>7829</v>
      </c>
      <c r="H29" s="6">
        <f t="shared" si="4"/>
        <v>18271</v>
      </c>
      <c r="I29" s="6">
        <f t="shared" si="5"/>
        <v>25801</v>
      </c>
      <c r="J29" s="6">
        <f t="shared" si="6"/>
        <v>64525</v>
      </c>
      <c r="K29" s="9"/>
      <c r="L29" s="9"/>
      <c r="M29" s="9"/>
      <c r="N29" s="9">
        <f t="shared" si="7"/>
        <v>9.021951902</v>
      </c>
      <c r="O29" s="10">
        <f t="shared" si="8"/>
        <v>27.40579895</v>
      </c>
      <c r="P29" s="9">
        <v>20.0</v>
      </c>
      <c r="Q29" s="11" t="str">
        <f t="shared" si="9"/>
        <v>cobertura correcta</v>
      </c>
      <c r="R29" s="12"/>
      <c r="S29" s="8"/>
      <c r="T29" s="12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15.75" customHeight="1">
      <c r="A30" s="5" t="s">
        <v>76</v>
      </c>
      <c r="B30" s="6" t="s">
        <v>77</v>
      </c>
      <c r="C30" s="6">
        <f t="shared" si="1"/>
        <v>5016</v>
      </c>
      <c r="D30" s="6">
        <f t="shared" si="12"/>
        <v>164</v>
      </c>
      <c r="E30" s="7">
        <v>0.0</v>
      </c>
      <c r="F30" s="8"/>
      <c r="G30" s="6">
        <f t="shared" si="3"/>
        <v>4732</v>
      </c>
      <c r="H30" s="6">
        <f t="shared" si="4"/>
        <v>16168</v>
      </c>
      <c r="I30" s="6">
        <f t="shared" si="5"/>
        <v>28141</v>
      </c>
      <c r="J30" s="6">
        <f t="shared" si="6"/>
        <v>81999</v>
      </c>
      <c r="K30" s="9"/>
      <c r="L30" s="9"/>
      <c r="M30" s="9"/>
      <c r="N30" s="9">
        <f t="shared" si="7"/>
        <v>16.34748804</v>
      </c>
      <c r="O30" s="10">
        <f t="shared" si="8"/>
        <v>31.80050719</v>
      </c>
      <c r="P30" s="9">
        <v>20.0</v>
      </c>
      <c r="Q30" s="11" t="str">
        <f t="shared" si="9"/>
        <v>cobertura correcta</v>
      </c>
      <c r="R30" s="12"/>
      <c r="S30" s="8"/>
      <c r="T30" s="12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15.75" customHeight="1">
      <c r="A31" s="5" t="s">
        <v>78</v>
      </c>
      <c r="B31" s="6" t="s">
        <v>79</v>
      </c>
      <c r="C31" s="6">
        <f t="shared" si="1"/>
        <v>6941</v>
      </c>
      <c r="D31" s="6">
        <f t="shared" si="12"/>
        <v>190</v>
      </c>
      <c r="E31" s="7">
        <v>0.0</v>
      </c>
      <c r="F31" s="8"/>
      <c r="G31" s="6">
        <f t="shared" si="3"/>
        <v>5676</v>
      </c>
      <c r="H31" s="6">
        <f t="shared" si="4"/>
        <v>12757</v>
      </c>
      <c r="I31" s="6">
        <f t="shared" si="5"/>
        <v>21344</v>
      </c>
      <c r="J31" s="6">
        <f t="shared" si="6"/>
        <v>46777</v>
      </c>
      <c r="K31" s="9"/>
      <c r="L31" s="9"/>
      <c r="M31" s="9"/>
      <c r="N31" s="9">
        <f t="shared" si="7"/>
        <v>6.739230658</v>
      </c>
      <c r="O31" s="10">
        <f t="shared" si="8"/>
        <v>36.68604651</v>
      </c>
      <c r="P31" s="9">
        <v>20.0</v>
      </c>
      <c r="Q31" s="11" t="str">
        <f t="shared" si="9"/>
        <v>cobertura correcta</v>
      </c>
      <c r="R31" s="12"/>
      <c r="S31" s="8"/>
      <c r="T31" s="12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15.75" customHeight="1">
      <c r="A32" s="5" t="s">
        <v>80</v>
      </c>
      <c r="B32" s="6" t="s">
        <v>81</v>
      </c>
      <c r="C32" s="6">
        <f t="shared" si="1"/>
        <v>8391</v>
      </c>
      <c r="D32" s="6">
        <f t="shared" si="12"/>
        <v>325</v>
      </c>
      <c r="E32" s="7">
        <v>0.0</v>
      </c>
      <c r="F32" s="8"/>
      <c r="G32" s="6">
        <f t="shared" si="3"/>
        <v>2845</v>
      </c>
      <c r="H32" s="6">
        <f t="shared" si="4"/>
        <v>16481</v>
      </c>
      <c r="I32" s="6">
        <f t="shared" si="5"/>
        <v>22945</v>
      </c>
      <c r="J32" s="6">
        <f t="shared" si="6"/>
        <v>34305</v>
      </c>
      <c r="K32" s="9"/>
      <c r="L32" s="9"/>
      <c r="M32" s="9"/>
      <c r="N32" s="9">
        <f t="shared" si="7"/>
        <v>4.088308902</v>
      </c>
      <c r="O32" s="10">
        <f t="shared" si="8"/>
        <v>88.48154657</v>
      </c>
      <c r="P32" s="9">
        <v>20.0</v>
      </c>
      <c r="Q32" s="11" t="str">
        <f t="shared" si="9"/>
        <v>cobertura correcta</v>
      </c>
      <c r="R32" s="12"/>
      <c r="S32" s="8"/>
      <c r="T32" s="12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5" t="s">
        <v>82</v>
      </c>
      <c r="B33" s="6" t="s">
        <v>83</v>
      </c>
      <c r="C33" s="6">
        <f t="shared" si="1"/>
        <v>6120</v>
      </c>
      <c r="D33" s="6">
        <f t="shared" si="12"/>
        <v>56</v>
      </c>
      <c r="E33" s="7">
        <v>0.0</v>
      </c>
      <c r="F33" s="8"/>
      <c r="G33" s="6">
        <f t="shared" si="3"/>
        <v>2262</v>
      </c>
      <c r="H33" s="6">
        <f t="shared" si="4"/>
        <v>16917</v>
      </c>
      <c r="I33" s="6">
        <f t="shared" si="5"/>
        <v>22462</v>
      </c>
      <c r="J33" s="6">
        <f t="shared" si="6"/>
        <v>31611</v>
      </c>
      <c r="K33" s="9"/>
      <c r="L33" s="9"/>
      <c r="M33" s="9"/>
      <c r="N33" s="9">
        <f t="shared" si="7"/>
        <v>5.165196078</v>
      </c>
      <c r="O33" s="10">
        <f t="shared" si="8"/>
        <v>81.16710875</v>
      </c>
      <c r="P33" s="9">
        <v>20.0</v>
      </c>
      <c r="Q33" s="11" t="str">
        <f t="shared" si="9"/>
        <v>cobertura correcta</v>
      </c>
      <c r="R33" s="12"/>
      <c r="S33" s="8"/>
      <c r="T33" s="12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5" t="s">
        <v>84</v>
      </c>
      <c r="B34" s="6" t="s">
        <v>85</v>
      </c>
      <c r="C34" s="6">
        <f t="shared" si="1"/>
        <v>2065</v>
      </c>
      <c r="D34" s="6">
        <f t="shared" si="12"/>
        <v>172</v>
      </c>
      <c r="E34" s="6">
        <f>RANDBETWEEN(0, 1000)</f>
        <v>827</v>
      </c>
      <c r="F34" s="8"/>
      <c r="G34" s="6">
        <f t="shared" si="3"/>
        <v>3264</v>
      </c>
      <c r="H34" s="6">
        <f t="shared" si="4"/>
        <v>12036</v>
      </c>
      <c r="I34" s="6">
        <f t="shared" si="5"/>
        <v>25860</v>
      </c>
      <c r="J34" s="6">
        <f t="shared" si="6"/>
        <v>73455</v>
      </c>
      <c r="K34" s="9"/>
      <c r="L34" s="9"/>
      <c r="M34" s="9"/>
      <c r="N34" s="9">
        <f t="shared" si="7"/>
        <v>35.57142857</v>
      </c>
      <c r="O34" s="10">
        <f t="shared" si="8"/>
        <v>18.97977941</v>
      </c>
      <c r="P34" s="9">
        <v>20.0</v>
      </c>
      <c r="Q34" s="11" t="str">
        <f t="shared" si="9"/>
        <v>¡Compra YA!</v>
      </c>
      <c r="R34" s="12"/>
      <c r="S34" s="8"/>
      <c r="T34" s="12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15.75" customHeight="1">
      <c r="A35" s="5" t="s">
        <v>86</v>
      </c>
      <c r="B35" s="6" t="s">
        <v>87</v>
      </c>
      <c r="C35" s="6">
        <f t="shared" si="1"/>
        <v>4144</v>
      </c>
      <c r="D35" s="6">
        <f t="shared" si="12"/>
        <v>228</v>
      </c>
      <c r="E35" s="7">
        <v>0.0</v>
      </c>
      <c r="F35" s="8"/>
      <c r="G35" s="6">
        <f t="shared" si="3"/>
        <v>3361</v>
      </c>
      <c r="H35" s="6">
        <f t="shared" si="4"/>
        <v>14759</v>
      </c>
      <c r="I35" s="6">
        <f t="shared" si="5"/>
        <v>24192</v>
      </c>
      <c r="J35" s="6">
        <f t="shared" si="6"/>
        <v>38107</v>
      </c>
      <c r="K35" s="9"/>
      <c r="L35" s="9"/>
      <c r="M35" s="9"/>
      <c r="N35" s="9">
        <f t="shared" si="7"/>
        <v>9.195704633</v>
      </c>
      <c r="O35" s="10">
        <f t="shared" si="8"/>
        <v>36.98899137</v>
      </c>
      <c r="P35" s="9">
        <v>20.0</v>
      </c>
      <c r="Q35" s="11" t="str">
        <f t="shared" si="9"/>
        <v>cobertura correcta</v>
      </c>
      <c r="R35" s="12"/>
      <c r="S35" s="8"/>
      <c r="T35" s="12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15.75" customHeight="1">
      <c r="A36" s="5" t="s">
        <v>88</v>
      </c>
      <c r="B36" s="6" t="s">
        <v>89</v>
      </c>
      <c r="C36" s="6">
        <f t="shared" si="1"/>
        <v>5485</v>
      </c>
      <c r="D36" s="6">
        <f t="shared" si="12"/>
        <v>159</v>
      </c>
      <c r="E36" s="7">
        <v>0.0</v>
      </c>
      <c r="F36" s="8"/>
      <c r="G36" s="6">
        <f t="shared" si="3"/>
        <v>1914</v>
      </c>
      <c r="H36" s="6">
        <f t="shared" si="4"/>
        <v>16052</v>
      </c>
      <c r="I36" s="6">
        <f t="shared" si="5"/>
        <v>19963</v>
      </c>
      <c r="J36" s="6">
        <f t="shared" si="6"/>
        <v>38884</v>
      </c>
      <c r="K36" s="9"/>
      <c r="L36" s="9"/>
      <c r="M36" s="9"/>
      <c r="N36" s="9">
        <f t="shared" si="7"/>
        <v>7.089152233</v>
      </c>
      <c r="O36" s="10">
        <f t="shared" si="8"/>
        <v>85.97178683</v>
      </c>
      <c r="P36" s="9">
        <v>20.0</v>
      </c>
      <c r="Q36" s="11" t="str">
        <f t="shared" si="9"/>
        <v>cobertura correcta</v>
      </c>
      <c r="R36" s="12"/>
      <c r="S36" s="8"/>
      <c r="T36" s="12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15.75" customHeight="1">
      <c r="A37" s="5" t="s">
        <v>90</v>
      </c>
      <c r="B37" s="6" t="s">
        <v>91</v>
      </c>
      <c r="C37" s="6">
        <f t="shared" si="1"/>
        <v>7019</v>
      </c>
      <c r="D37" s="6">
        <f t="shared" si="12"/>
        <v>339</v>
      </c>
      <c r="E37" s="7">
        <v>0.0</v>
      </c>
      <c r="F37" s="8"/>
      <c r="G37" s="6">
        <f t="shared" si="3"/>
        <v>5924</v>
      </c>
      <c r="H37" s="6">
        <f t="shared" si="4"/>
        <v>9211</v>
      </c>
      <c r="I37" s="6">
        <f t="shared" si="5"/>
        <v>27072</v>
      </c>
      <c r="J37" s="6">
        <f t="shared" si="6"/>
        <v>50157</v>
      </c>
      <c r="K37" s="9"/>
      <c r="L37" s="9"/>
      <c r="M37" s="9"/>
      <c r="N37" s="9">
        <f t="shared" si="7"/>
        <v>7.145889728</v>
      </c>
      <c r="O37" s="10">
        <f t="shared" si="8"/>
        <v>35.5452397</v>
      </c>
      <c r="P37" s="9">
        <v>20.0</v>
      </c>
      <c r="Q37" s="11" t="str">
        <f t="shared" si="9"/>
        <v>cobertura correcta</v>
      </c>
      <c r="R37" s="12"/>
      <c r="S37" s="8"/>
      <c r="T37" s="12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15.75" customHeight="1">
      <c r="A38" s="5" t="s">
        <v>92</v>
      </c>
      <c r="B38" s="6" t="s">
        <v>93</v>
      </c>
      <c r="C38" s="6">
        <f t="shared" si="1"/>
        <v>7594</v>
      </c>
      <c r="D38" s="6">
        <f t="shared" si="12"/>
        <v>145</v>
      </c>
      <c r="E38" s="7">
        <v>0.0</v>
      </c>
      <c r="F38" s="8"/>
      <c r="G38" s="6">
        <f t="shared" si="3"/>
        <v>4273</v>
      </c>
      <c r="H38" s="6">
        <f t="shared" si="4"/>
        <v>18640</v>
      </c>
      <c r="I38" s="6">
        <f t="shared" si="5"/>
        <v>25554</v>
      </c>
      <c r="J38" s="6">
        <f t="shared" si="6"/>
        <v>98056</v>
      </c>
      <c r="K38" s="9"/>
      <c r="L38" s="9"/>
      <c r="M38" s="9"/>
      <c r="N38" s="9">
        <f t="shared" si="7"/>
        <v>12.91229918</v>
      </c>
      <c r="O38" s="10">
        <f t="shared" si="8"/>
        <v>53.31617131</v>
      </c>
      <c r="P38" s="9">
        <v>20.0</v>
      </c>
      <c r="Q38" s="11" t="str">
        <f t="shared" si="9"/>
        <v>cobertura correcta</v>
      </c>
      <c r="R38" s="12"/>
      <c r="S38" s="8"/>
      <c r="T38" s="12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15.75" customHeight="1">
      <c r="A39" s="5" t="s">
        <v>94</v>
      </c>
      <c r="B39" s="6" t="s">
        <v>95</v>
      </c>
      <c r="C39" s="6">
        <f t="shared" si="1"/>
        <v>4725</v>
      </c>
      <c r="D39" s="6">
        <f t="shared" si="12"/>
        <v>210</v>
      </c>
      <c r="E39" s="7">
        <v>0.0</v>
      </c>
      <c r="F39" s="8"/>
      <c r="G39" s="6">
        <f t="shared" si="3"/>
        <v>1906</v>
      </c>
      <c r="H39" s="6">
        <f t="shared" si="4"/>
        <v>15656</v>
      </c>
      <c r="I39" s="6">
        <f t="shared" si="5"/>
        <v>27229</v>
      </c>
      <c r="J39" s="6">
        <f t="shared" si="6"/>
        <v>58730</v>
      </c>
      <c r="K39" s="9"/>
      <c r="L39" s="9"/>
      <c r="M39" s="9"/>
      <c r="N39" s="9">
        <f t="shared" si="7"/>
        <v>12.42962963</v>
      </c>
      <c r="O39" s="10">
        <f t="shared" si="8"/>
        <v>74.37040923</v>
      </c>
      <c r="P39" s="9">
        <v>20.0</v>
      </c>
      <c r="Q39" s="11" t="str">
        <f t="shared" si="9"/>
        <v>cobertura correcta</v>
      </c>
      <c r="R39" s="12"/>
      <c r="S39" s="8"/>
      <c r="T39" s="12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15.75" customHeight="1">
      <c r="A40" s="5" t="s">
        <v>96</v>
      </c>
      <c r="B40" s="6" t="s">
        <v>97</v>
      </c>
      <c r="C40" s="6">
        <f t="shared" si="1"/>
        <v>6554</v>
      </c>
      <c r="D40" s="6">
        <f t="shared" si="12"/>
        <v>107</v>
      </c>
      <c r="E40" s="7">
        <v>0.0</v>
      </c>
      <c r="F40" s="8"/>
      <c r="G40" s="6">
        <f t="shared" si="3"/>
        <v>5209</v>
      </c>
      <c r="H40" s="6">
        <f t="shared" si="4"/>
        <v>11094</v>
      </c>
      <c r="I40" s="6">
        <f t="shared" si="5"/>
        <v>23052</v>
      </c>
      <c r="J40" s="6">
        <f t="shared" si="6"/>
        <v>57928</v>
      </c>
      <c r="K40" s="9"/>
      <c r="L40" s="9"/>
      <c r="M40" s="9"/>
      <c r="N40" s="9">
        <f t="shared" si="7"/>
        <v>8.838571865</v>
      </c>
      <c r="O40" s="10">
        <f t="shared" si="8"/>
        <v>37.74620849</v>
      </c>
      <c r="P40" s="9">
        <v>20.0</v>
      </c>
      <c r="Q40" s="11" t="str">
        <f t="shared" si="9"/>
        <v>cobertura correcta</v>
      </c>
      <c r="R40" s="12"/>
      <c r="S40" s="8"/>
      <c r="T40" s="12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15.75" customHeight="1">
      <c r="A41" s="5" t="s">
        <v>98</v>
      </c>
      <c r="B41" s="6" t="s">
        <v>99</v>
      </c>
      <c r="C41" s="6">
        <f t="shared" si="1"/>
        <v>1586</v>
      </c>
      <c r="D41" s="6">
        <f t="shared" si="12"/>
        <v>139</v>
      </c>
      <c r="E41" s="7">
        <v>0.0</v>
      </c>
      <c r="F41" s="8"/>
      <c r="G41" s="6">
        <f t="shared" si="3"/>
        <v>2305</v>
      </c>
      <c r="H41" s="6">
        <f t="shared" si="4"/>
        <v>14079</v>
      </c>
      <c r="I41" s="6">
        <f t="shared" si="5"/>
        <v>23712</v>
      </c>
      <c r="J41" s="6">
        <f t="shared" si="6"/>
        <v>85169</v>
      </c>
      <c r="K41" s="9"/>
      <c r="L41" s="9"/>
      <c r="M41" s="9"/>
      <c r="N41" s="9">
        <f t="shared" si="7"/>
        <v>53.70050441</v>
      </c>
      <c r="O41" s="10">
        <f t="shared" si="8"/>
        <v>20.64208243</v>
      </c>
      <c r="P41" s="9">
        <v>20.0</v>
      </c>
      <c r="Q41" s="11" t="str">
        <f t="shared" si="9"/>
        <v>cobertura correcta</v>
      </c>
      <c r="R41" s="12"/>
      <c r="S41" s="8"/>
      <c r="T41" s="12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15.75" customHeight="1">
      <c r="A42" s="5" t="s">
        <v>100</v>
      </c>
      <c r="B42" s="6" t="s">
        <v>101</v>
      </c>
      <c r="C42" s="6">
        <f t="shared" si="1"/>
        <v>3815</v>
      </c>
      <c r="D42" s="6">
        <f t="shared" si="12"/>
        <v>308</v>
      </c>
      <c r="E42" s="7">
        <v>0.0</v>
      </c>
      <c r="F42" s="8"/>
      <c r="G42" s="6">
        <f t="shared" si="3"/>
        <v>1808</v>
      </c>
      <c r="H42" s="6">
        <f t="shared" si="4"/>
        <v>9308</v>
      </c>
      <c r="I42" s="6">
        <f t="shared" si="5"/>
        <v>24167</v>
      </c>
      <c r="J42" s="6">
        <f t="shared" si="6"/>
        <v>89741</v>
      </c>
      <c r="K42" s="9"/>
      <c r="L42" s="9"/>
      <c r="M42" s="9"/>
      <c r="N42" s="9">
        <f t="shared" si="7"/>
        <v>23.5231979</v>
      </c>
      <c r="O42" s="10">
        <f t="shared" si="8"/>
        <v>63.30199115</v>
      </c>
      <c r="P42" s="9">
        <v>20.0</v>
      </c>
      <c r="Q42" s="11" t="str">
        <f t="shared" si="9"/>
        <v>cobertura correcta</v>
      </c>
      <c r="R42" s="12"/>
      <c r="S42" s="8"/>
      <c r="T42" s="12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15.75" customHeight="1">
      <c r="A43" s="5" t="s">
        <v>102</v>
      </c>
      <c r="B43" s="6" t="s">
        <v>103</v>
      </c>
      <c r="C43" s="6">
        <f t="shared" si="1"/>
        <v>3863</v>
      </c>
      <c r="D43" s="6">
        <f t="shared" si="12"/>
        <v>28</v>
      </c>
      <c r="E43" s="6">
        <f t="shared" ref="E43:E46" si="14">RANDBETWEEN(0, 1000)</f>
        <v>758</v>
      </c>
      <c r="F43" s="8"/>
      <c r="G43" s="6">
        <f t="shared" si="3"/>
        <v>3124</v>
      </c>
      <c r="H43" s="6">
        <f t="shared" si="4"/>
        <v>15283</v>
      </c>
      <c r="I43" s="6">
        <f t="shared" si="5"/>
        <v>19712</v>
      </c>
      <c r="J43" s="6">
        <f t="shared" si="6"/>
        <v>94780</v>
      </c>
      <c r="K43" s="9"/>
      <c r="L43" s="9"/>
      <c r="M43" s="9"/>
      <c r="N43" s="9">
        <f t="shared" si="7"/>
        <v>24.53533523</v>
      </c>
      <c r="O43" s="10">
        <f t="shared" si="8"/>
        <v>37.09667093</v>
      </c>
      <c r="P43" s="9">
        <v>20.0</v>
      </c>
      <c r="Q43" s="11" t="str">
        <f t="shared" si="9"/>
        <v>cobertura correcta</v>
      </c>
      <c r="R43" s="12"/>
      <c r="S43" s="8"/>
      <c r="T43" s="12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75" customHeight="1">
      <c r="A44" s="5" t="s">
        <v>104</v>
      </c>
      <c r="B44" s="6" t="s">
        <v>105</v>
      </c>
      <c r="C44" s="6">
        <f t="shared" si="1"/>
        <v>2636</v>
      </c>
      <c r="D44" s="6">
        <f t="shared" si="12"/>
        <v>238</v>
      </c>
      <c r="E44" s="6">
        <f t="shared" si="14"/>
        <v>53</v>
      </c>
      <c r="F44" s="8"/>
      <c r="G44" s="6">
        <f t="shared" si="3"/>
        <v>2413</v>
      </c>
      <c r="H44" s="6">
        <f t="shared" si="4"/>
        <v>14663</v>
      </c>
      <c r="I44" s="6">
        <f t="shared" si="5"/>
        <v>22598</v>
      </c>
      <c r="J44" s="6">
        <f t="shared" si="6"/>
        <v>69479</v>
      </c>
      <c r="K44" s="9"/>
      <c r="L44" s="9"/>
      <c r="M44" s="9"/>
      <c r="N44" s="9">
        <f t="shared" si="7"/>
        <v>26.357739</v>
      </c>
      <c r="O44" s="10">
        <f t="shared" si="8"/>
        <v>32.77248239</v>
      </c>
      <c r="P44" s="9">
        <v>20.0</v>
      </c>
      <c r="Q44" s="11" t="str">
        <f t="shared" si="9"/>
        <v>cobertura correcta</v>
      </c>
      <c r="R44" s="12"/>
      <c r="S44" s="8"/>
      <c r="T44" s="12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75" customHeight="1">
      <c r="A45" s="5" t="s">
        <v>106</v>
      </c>
      <c r="B45" s="6" t="s">
        <v>107</v>
      </c>
      <c r="C45" s="6">
        <f t="shared" si="1"/>
        <v>5113</v>
      </c>
      <c r="D45" s="6">
        <f t="shared" si="12"/>
        <v>213</v>
      </c>
      <c r="E45" s="6">
        <f t="shared" si="14"/>
        <v>547</v>
      </c>
      <c r="F45" s="8"/>
      <c r="G45" s="6">
        <f t="shared" si="3"/>
        <v>8264</v>
      </c>
      <c r="H45" s="6">
        <f t="shared" si="4"/>
        <v>16242</v>
      </c>
      <c r="I45" s="6">
        <f t="shared" si="5"/>
        <v>19816</v>
      </c>
      <c r="J45" s="6">
        <f t="shared" si="6"/>
        <v>43634</v>
      </c>
      <c r="K45" s="9"/>
      <c r="L45" s="9"/>
      <c r="M45" s="9"/>
      <c r="N45" s="9">
        <f t="shared" si="7"/>
        <v>8.533933112</v>
      </c>
      <c r="O45" s="10">
        <f t="shared" si="8"/>
        <v>18.56122943</v>
      </c>
      <c r="P45" s="9">
        <v>20.0</v>
      </c>
      <c r="Q45" s="11" t="str">
        <f t="shared" si="9"/>
        <v>¡Compra YA!</v>
      </c>
      <c r="R45" s="12"/>
      <c r="S45" s="8"/>
      <c r="T45" s="12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15.75" customHeight="1">
      <c r="A46" s="5" t="s">
        <v>108</v>
      </c>
      <c r="B46" s="6"/>
      <c r="C46" s="6">
        <f t="shared" si="1"/>
        <v>8076</v>
      </c>
      <c r="D46" s="6">
        <f t="shared" si="12"/>
        <v>344</v>
      </c>
      <c r="E46" s="6">
        <f t="shared" si="14"/>
        <v>199</v>
      </c>
      <c r="F46" s="8"/>
      <c r="G46" s="6">
        <f t="shared" si="3"/>
        <v>7099</v>
      </c>
      <c r="H46" s="6">
        <f t="shared" si="4"/>
        <v>13746</v>
      </c>
      <c r="I46" s="6">
        <f t="shared" si="5"/>
        <v>25319</v>
      </c>
      <c r="J46" s="6">
        <f t="shared" si="6"/>
        <v>66892</v>
      </c>
      <c r="K46" s="9"/>
      <c r="L46" s="9"/>
      <c r="M46" s="9"/>
      <c r="N46" s="9">
        <f t="shared" si="7"/>
        <v>8.282813274</v>
      </c>
      <c r="O46" s="10">
        <f t="shared" si="8"/>
        <v>34.12875053</v>
      </c>
      <c r="P46" s="9">
        <v>20.0</v>
      </c>
      <c r="Q46" s="11" t="str">
        <f t="shared" si="9"/>
        <v>cobertura correcta</v>
      </c>
      <c r="R46" s="12"/>
      <c r="S46" s="8"/>
      <c r="T46" s="12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15.75" customHeight="1">
      <c r="A47" s="5" t="s">
        <v>109</v>
      </c>
      <c r="B47" s="6"/>
      <c r="C47" s="6">
        <f t="shared" si="1"/>
        <v>5384</v>
      </c>
      <c r="D47" s="6">
        <f t="shared" si="12"/>
        <v>176</v>
      </c>
      <c r="E47" s="7">
        <v>0.0</v>
      </c>
      <c r="F47" s="8"/>
      <c r="G47" s="6">
        <f t="shared" si="3"/>
        <v>1655</v>
      </c>
      <c r="H47" s="6">
        <f t="shared" si="4"/>
        <v>11800</v>
      </c>
      <c r="I47" s="6">
        <f t="shared" si="5"/>
        <v>27226</v>
      </c>
      <c r="J47" s="6">
        <f t="shared" si="6"/>
        <v>96832</v>
      </c>
      <c r="K47" s="9"/>
      <c r="L47" s="9"/>
      <c r="M47" s="9"/>
      <c r="N47" s="9">
        <f t="shared" si="7"/>
        <v>17.98514116</v>
      </c>
      <c r="O47" s="10">
        <f t="shared" si="8"/>
        <v>97.59516616</v>
      </c>
      <c r="P47" s="9">
        <v>20.0</v>
      </c>
      <c r="Q47" s="11" t="str">
        <f t="shared" si="9"/>
        <v>cobertura correcta</v>
      </c>
      <c r="R47" s="12"/>
      <c r="S47" s="8"/>
      <c r="T47" s="12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15.75" customHeight="1">
      <c r="A48" s="5" t="s">
        <v>110</v>
      </c>
      <c r="B48" s="6"/>
      <c r="C48" s="6">
        <f t="shared" si="1"/>
        <v>5539</v>
      </c>
      <c r="D48" s="6">
        <f t="shared" si="12"/>
        <v>273</v>
      </c>
      <c r="E48" s="7">
        <v>0.0</v>
      </c>
      <c r="F48" s="8"/>
      <c r="G48" s="6">
        <f t="shared" si="3"/>
        <v>1525</v>
      </c>
      <c r="H48" s="6">
        <f t="shared" si="4"/>
        <v>10837</v>
      </c>
      <c r="I48" s="6">
        <f t="shared" si="5"/>
        <v>27773</v>
      </c>
      <c r="J48" s="6">
        <f t="shared" si="6"/>
        <v>54698</v>
      </c>
      <c r="K48" s="9"/>
      <c r="L48" s="9"/>
      <c r="M48" s="9"/>
      <c r="N48" s="9">
        <f t="shared" si="7"/>
        <v>9.875067702</v>
      </c>
      <c r="O48" s="10">
        <f t="shared" si="8"/>
        <v>108.9639344</v>
      </c>
      <c r="P48" s="9">
        <v>20.0</v>
      </c>
      <c r="Q48" s="11" t="str">
        <f t="shared" si="9"/>
        <v>cobertura correcta</v>
      </c>
      <c r="R48" s="12"/>
      <c r="S48" s="8"/>
      <c r="T48" s="12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15.75" customHeight="1">
      <c r="A49" s="5" t="s">
        <v>111</v>
      </c>
      <c r="B49" s="6"/>
      <c r="C49" s="6">
        <f t="shared" si="1"/>
        <v>4683</v>
      </c>
      <c r="D49" s="6">
        <f t="shared" si="12"/>
        <v>217</v>
      </c>
      <c r="E49" s="7">
        <v>0.0</v>
      </c>
      <c r="F49" s="8"/>
      <c r="G49" s="6">
        <f t="shared" si="3"/>
        <v>3090</v>
      </c>
      <c r="H49" s="6">
        <f t="shared" si="4"/>
        <v>16977</v>
      </c>
      <c r="I49" s="6">
        <f t="shared" si="5"/>
        <v>20134</v>
      </c>
      <c r="J49" s="6">
        <f t="shared" si="6"/>
        <v>34487</v>
      </c>
      <c r="K49" s="9"/>
      <c r="L49" s="9"/>
      <c r="M49" s="9"/>
      <c r="N49" s="9">
        <f t="shared" si="7"/>
        <v>7.364296391</v>
      </c>
      <c r="O49" s="10">
        <f t="shared" si="8"/>
        <v>45.46601942</v>
      </c>
      <c r="P49" s="9">
        <v>20.0</v>
      </c>
      <c r="Q49" s="11" t="str">
        <f t="shared" si="9"/>
        <v>cobertura correcta</v>
      </c>
      <c r="R49" s="12"/>
      <c r="S49" s="8"/>
      <c r="T49" s="12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15.75" customHeight="1">
      <c r="A50" s="5" t="s">
        <v>112</v>
      </c>
      <c r="B50" s="6"/>
      <c r="C50" s="6">
        <f t="shared" si="1"/>
        <v>5676</v>
      </c>
      <c r="D50" s="6">
        <f t="shared" si="12"/>
        <v>137</v>
      </c>
      <c r="E50" s="7">
        <v>0.0</v>
      </c>
      <c r="F50" s="8"/>
      <c r="G50" s="6">
        <f t="shared" si="3"/>
        <v>1227</v>
      </c>
      <c r="H50" s="6">
        <f t="shared" si="4"/>
        <v>13614</v>
      </c>
      <c r="I50" s="6">
        <f t="shared" si="5"/>
        <v>25799</v>
      </c>
      <c r="J50" s="6">
        <f t="shared" si="6"/>
        <v>75149</v>
      </c>
      <c r="K50" s="9"/>
      <c r="L50" s="9"/>
      <c r="M50" s="9"/>
      <c r="N50" s="9">
        <f t="shared" si="7"/>
        <v>13.23978154</v>
      </c>
      <c r="O50" s="10">
        <f t="shared" si="8"/>
        <v>138.7775061</v>
      </c>
      <c r="P50" s="9">
        <v>20.0</v>
      </c>
      <c r="Q50" s="11" t="str">
        <f t="shared" si="9"/>
        <v>cobertura correcta</v>
      </c>
      <c r="R50" s="12"/>
      <c r="S50" s="8"/>
      <c r="T50" s="12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15.75" customHeight="1">
      <c r="A51" s="5" t="s">
        <v>113</v>
      </c>
      <c r="B51" s="6" t="s">
        <v>114</v>
      </c>
      <c r="C51" s="6">
        <f t="shared" si="1"/>
        <v>7906</v>
      </c>
      <c r="D51" s="6">
        <f t="shared" si="12"/>
        <v>218</v>
      </c>
      <c r="E51" s="7">
        <v>0.0</v>
      </c>
      <c r="F51" s="8"/>
      <c r="G51" s="6">
        <f t="shared" si="3"/>
        <v>2257</v>
      </c>
      <c r="H51" s="6">
        <f t="shared" si="4"/>
        <v>15606</v>
      </c>
      <c r="I51" s="6">
        <f t="shared" si="5"/>
        <v>25838</v>
      </c>
      <c r="J51" s="6">
        <f t="shared" si="6"/>
        <v>59887</v>
      </c>
      <c r="K51" s="9"/>
      <c r="L51" s="9"/>
      <c r="M51" s="9"/>
      <c r="N51" s="9">
        <f t="shared" si="7"/>
        <v>7.574879838</v>
      </c>
      <c r="O51" s="10">
        <f t="shared" si="8"/>
        <v>105.0863979</v>
      </c>
      <c r="P51" s="9">
        <v>15.0</v>
      </c>
      <c r="Q51" s="11" t="str">
        <f t="shared" si="9"/>
        <v>cobertura correcta</v>
      </c>
      <c r="R51" s="12"/>
      <c r="S51" s="8"/>
      <c r="T51" s="12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15.75" customHeight="1">
      <c r="A52" s="5" t="s">
        <v>115</v>
      </c>
      <c r="B52" s="6" t="s">
        <v>116</v>
      </c>
      <c r="C52" s="6">
        <f t="shared" si="1"/>
        <v>8476</v>
      </c>
      <c r="D52" s="6">
        <f t="shared" si="12"/>
        <v>276</v>
      </c>
      <c r="E52" s="7">
        <v>0.0</v>
      </c>
      <c r="F52" s="8"/>
      <c r="G52" s="6">
        <f t="shared" si="3"/>
        <v>6356</v>
      </c>
      <c r="H52" s="6">
        <f t="shared" si="4"/>
        <v>15752</v>
      </c>
      <c r="I52" s="6">
        <f t="shared" si="5"/>
        <v>23280</v>
      </c>
      <c r="J52" s="6">
        <f t="shared" si="6"/>
        <v>77039</v>
      </c>
      <c r="K52" s="9"/>
      <c r="L52" s="9"/>
      <c r="M52" s="9"/>
      <c r="N52" s="9">
        <f t="shared" si="7"/>
        <v>9.089075035</v>
      </c>
      <c r="O52" s="10">
        <f t="shared" si="8"/>
        <v>40.00629327</v>
      </c>
      <c r="P52" s="9">
        <v>15.0</v>
      </c>
      <c r="Q52" s="11" t="str">
        <f t="shared" si="9"/>
        <v>cobertura correcta</v>
      </c>
      <c r="R52" s="12"/>
      <c r="S52" s="8"/>
      <c r="T52" s="12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15.75" customHeight="1">
      <c r="A53" s="5" t="s">
        <v>117</v>
      </c>
      <c r="B53" s="6" t="s">
        <v>118</v>
      </c>
      <c r="C53" s="6">
        <f t="shared" si="1"/>
        <v>6380</v>
      </c>
      <c r="D53" s="6">
        <f t="shared" si="12"/>
        <v>344</v>
      </c>
      <c r="E53" s="7">
        <v>0.0</v>
      </c>
      <c r="F53" s="8"/>
      <c r="G53" s="6">
        <f t="shared" si="3"/>
        <v>7640</v>
      </c>
      <c r="H53" s="6">
        <f t="shared" si="4"/>
        <v>16051</v>
      </c>
      <c r="I53" s="6">
        <f t="shared" si="5"/>
        <v>20761</v>
      </c>
      <c r="J53" s="6">
        <f t="shared" si="6"/>
        <v>54511</v>
      </c>
      <c r="K53" s="9"/>
      <c r="L53" s="9"/>
      <c r="M53" s="9"/>
      <c r="N53" s="9">
        <f t="shared" si="7"/>
        <v>8.544043887</v>
      </c>
      <c r="O53" s="10">
        <f t="shared" si="8"/>
        <v>25.05235602</v>
      </c>
      <c r="P53" s="9">
        <v>15.0</v>
      </c>
      <c r="Q53" s="11" t="str">
        <f t="shared" si="9"/>
        <v>cobertura correcta</v>
      </c>
      <c r="R53" s="12"/>
      <c r="S53" s="8"/>
      <c r="T53" s="12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15.75" customHeight="1">
      <c r="A54" s="5" t="s">
        <v>119</v>
      </c>
      <c r="B54" s="6" t="s">
        <v>120</v>
      </c>
      <c r="C54" s="6">
        <f t="shared" si="1"/>
        <v>7548</v>
      </c>
      <c r="D54" s="6">
        <f t="shared" si="12"/>
        <v>216</v>
      </c>
      <c r="E54" s="7">
        <v>0.0</v>
      </c>
      <c r="F54" s="8"/>
      <c r="G54" s="6">
        <f t="shared" si="3"/>
        <v>8559</v>
      </c>
      <c r="H54" s="6">
        <f t="shared" si="4"/>
        <v>13448</v>
      </c>
      <c r="I54" s="6">
        <f t="shared" si="5"/>
        <v>23617</v>
      </c>
      <c r="J54" s="6">
        <f t="shared" si="6"/>
        <v>49384</v>
      </c>
      <c r="K54" s="9"/>
      <c r="L54" s="9"/>
      <c r="M54" s="9"/>
      <c r="N54" s="9">
        <f t="shared" si="7"/>
        <v>6.542660307</v>
      </c>
      <c r="O54" s="10">
        <f t="shared" si="8"/>
        <v>26.45636172</v>
      </c>
      <c r="P54" s="9">
        <v>15.0</v>
      </c>
      <c r="Q54" s="11" t="str">
        <f t="shared" si="9"/>
        <v>cobertura correcta</v>
      </c>
      <c r="R54" s="12"/>
      <c r="S54" s="8"/>
      <c r="T54" s="12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15.75" customHeight="1">
      <c r="A55" s="5" t="s">
        <v>121</v>
      </c>
      <c r="B55" s="6" t="s">
        <v>122</v>
      </c>
      <c r="C55" s="6">
        <f t="shared" si="1"/>
        <v>1007</v>
      </c>
      <c r="D55" s="6">
        <f t="shared" si="12"/>
        <v>343</v>
      </c>
      <c r="E55" s="7">
        <v>0.0</v>
      </c>
      <c r="F55" s="8"/>
      <c r="G55" s="6">
        <f t="shared" si="3"/>
        <v>7437</v>
      </c>
      <c r="H55" s="6">
        <f t="shared" si="4"/>
        <v>14206</v>
      </c>
      <c r="I55" s="6">
        <f t="shared" si="5"/>
        <v>19207</v>
      </c>
      <c r="J55" s="6">
        <f t="shared" si="6"/>
        <v>80464</v>
      </c>
      <c r="K55" s="9"/>
      <c r="L55" s="9"/>
      <c r="M55" s="9"/>
      <c r="N55" s="9">
        <f t="shared" si="7"/>
        <v>79.90466733</v>
      </c>
      <c r="O55" s="10">
        <f t="shared" si="8"/>
        <v>4.062121823</v>
      </c>
      <c r="P55" s="9">
        <v>15.0</v>
      </c>
      <c r="Q55" s="11" t="str">
        <f t="shared" si="9"/>
        <v>¡Compra YA!</v>
      </c>
      <c r="R55" s="12"/>
      <c r="S55" s="8"/>
      <c r="T55" s="12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15.75" customHeight="1">
      <c r="A56" s="5" t="s">
        <v>123</v>
      </c>
      <c r="B56" s="6" t="s">
        <v>124</v>
      </c>
      <c r="C56" s="6">
        <f t="shared" si="1"/>
        <v>5773</v>
      </c>
      <c r="D56" s="6">
        <f t="shared" si="12"/>
        <v>242</v>
      </c>
      <c r="E56" s="7">
        <v>0.0</v>
      </c>
      <c r="F56" s="8"/>
      <c r="G56" s="6">
        <f t="shared" si="3"/>
        <v>8750</v>
      </c>
      <c r="H56" s="6">
        <f t="shared" si="4"/>
        <v>13203</v>
      </c>
      <c r="I56" s="6">
        <f t="shared" si="5"/>
        <v>21185</v>
      </c>
      <c r="J56" s="6">
        <f t="shared" si="6"/>
        <v>35571</v>
      </c>
      <c r="K56" s="9"/>
      <c r="L56" s="9"/>
      <c r="M56" s="9"/>
      <c r="N56" s="9">
        <f t="shared" si="7"/>
        <v>6.161614412</v>
      </c>
      <c r="O56" s="10">
        <f t="shared" si="8"/>
        <v>19.79314286</v>
      </c>
      <c r="P56" s="9">
        <v>15.0</v>
      </c>
      <c r="Q56" s="11" t="str">
        <f t="shared" si="9"/>
        <v>cobertura correcta</v>
      </c>
      <c r="R56" s="12"/>
      <c r="S56" s="8"/>
      <c r="T56" s="12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15.75" customHeight="1">
      <c r="A57" s="5" t="s">
        <v>125</v>
      </c>
      <c r="B57" s="6" t="s">
        <v>126</v>
      </c>
      <c r="C57" s="6">
        <f t="shared" si="1"/>
        <v>7930</v>
      </c>
      <c r="D57" s="6">
        <f t="shared" si="12"/>
        <v>197</v>
      </c>
      <c r="E57" s="7">
        <v>0.0</v>
      </c>
      <c r="F57" s="8"/>
      <c r="G57" s="6">
        <f t="shared" si="3"/>
        <v>5899</v>
      </c>
      <c r="H57" s="6">
        <f t="shared" si="4"/>
        <v>13658</v>
      </c>
      <c r="I57" s="6">
        <f t="shared" si="5"/>
        <v>28484</v>
      </c>
      <c r="J57" s="6">
        <f t="shared" si="6"/>
        <v>75047</v>
      </c>
      <c r="K57" s="9"/>
      <c r="L57" s="9"/>
      <c r="M57" s="9"/>
      <c r="N57" s="9">
        <f t="shared" si="7"/>
        <v>9.463682219</v>
      </c>
      <c r="O57" s="10">
        <f t="shared" si="8"/>
        <v>40.3288693</v>
      </c>
      <c r="P57" s="9">
        <v>15.0</v>
      </c>
      <c r="Q57" s="11" t="str">
        <f t="shared" si="9"/>
        <v>cobertura correcta</v>
      </c>
      <c r="R57" s="12"/>
      <c r="S57" s="8"/>
      <c r="T57" s="12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15.75" customHeight="1">
      <c r="A58" s="5" t="s">
        <v>127</v>
      </c>
      <c r="B58" s="6" t="s">
        <v>128</v>
      </c>
      <c r="C58" s="6">
        <f t="shared" si="1"/>
        <v>5713</v>
      </c>
      <c r="D58" s="6">
        <f t="shared" si="12"/>
        <v>17</v>
      </c>
      <c r="E58" s="7">
        <v>0.0</v>
      </c>
      <c r="F58" s="8"/>
      <c r="G58" s="6">
        <f t="shared" si="3"/>
        <v>1183</v>
      </c>
      <c r="H58" s="6">
        <f t="shared" si="4"/>
        <v>17939</v>
      </c>
      <c r="I58" s="6">
        <f t="shared" si="5"/>
        <v>23838</v>
      </c>
      <c r="J58" s="6">
        <f t="shared" si="6"/>
        <v>78902</v>
      </c>
      <c r="K58" s="9"/>
      <c r="L58" s="9"/>
      <c r="M58" s="9"/>
      <c r="N58" s="9">
        <f t="shared" si="7"/>
        <v>13.81095747</v>
      </c>
      <c r="O58" s="10">
        <f t="shared" si="8"/>
        <v>144.8774303</v>
      </c>
      <c r="P58" s="9">
        <v>15.0</v>
      </c>
      <c r="Q58" s="11" t="str">
        <f t="shared" si="9"/>
        <v>cobertura correcta</v>
      </c>
      <c r="R58" s="12"/>
      <c r="S58" s="8"/>
      <c r="T58" s="12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15.75" customHeight="1">
      <c r="A59" s="5" t="s">
        <v>129</v>
      </c>
      <c r="B59" s="6" t="s">
        <v>130</v>
      </c>
      <c r="C59" s="6">
        <f t="shared" si="1"/>
        <v>5515</v>
      </c>
      <c r="D59" s="6">
        <f t="shared" si="12"/>
        <v>327</v>
      </c>
      <c r="E59" s="7">
        <v>0.0</v>
      </c>
      <c r="F59" s="8"/>
      <c r="G59" s="6">
        <f t="shared" si="3"/>
        <v>6115</v>
      </c>
      <c r="H59" s="6">
        <f t="shared" si="4"/>
        <v>15281</v>
      </c>
      <c r="I59" s="6">
        <f t="shared" si="5"/>
        <v>21812</v>
      </c>
      <c r="J59" s="6">
        <f t="shared" si="6"/>
        <v>64253</v>
      </c>
      <c r="K59" s="9"/>
      <c r="L59" s="9"/>
      <c r="M59" s="9"/>
      <c r="N59" s="9">
        <f t="shared" si="7"/>
        <v>11.6505893</v>
      </c>
      <c r="O59" s="10">
        <f t="shared" si="8"/>
        <v>27.05641864</v>
      </c>
      <c r="P59" s="9">
        <v>15.0</v>
      </c>
      <c r="Q59" s="11" t="str">
        <f t="shared" si="9"/>
        <v>cobertura correcta</v>
      </c>
      <c r="R59" s="12"/>
      <c r="S59" s="8"/>
      <c r="T59" s="12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15.75" customHeight="1">
      <c r="A60" s="5" t="s">
        <v>131</v>
      </c>
      <c r="B60" s="6" t="s">
        <v>132</v>
      </c>
      <c r="C60" s="6">
        <f t="shared" si="1"/>
        <v>2707</v>
      </c>
      <c r="D60" s="6">
        <f t="shared" si="12"/>
        <v>172</v>
      </c>
      <c r="E60" s="7">
        <v>0.0</v>
      </c>
      <c r="F60" s="8"/>
      <c r="G60" s="6">
        <f t="shared" si="3"/>
        <v>5334</v>
      </c>
      <c r="H60" s="6">
        <f t="shared" si="4"/>
        <v>18645</v>
      </c>
      <c r="I60" s="6">
        <f t="shared" si="5"/>
        <v>21678</v>
      </c>
      <c r="J60" s="6">
        <f t="shared" si="6"/>
        <v>77899</v>
      </c>
      <c r="K60" s="9"/>
      <c r="L60" s="9"/>
      <c r="M60" s="9"/>
      <c r="N60" s="9">
        <f t="shared" si="7"/>
        <v>28.77687477</v>
      </c>
      <c r="O60" s="10">
        <f t="shared" si="8"/>
        <v>15.22497188</v>
      </c>
      <c r="P60" s="9">
        <v>15.0</v>
      </c>
      <c r="Q60" s="11" t="str">
        <f t="shared" si="9"/>
        <v>cobertura correcta</v>
      </c>
      <c r="R60" s="12"/>
      <c r="S60" s="8"/>
      <c r="T60" s="12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15.75" customHeight="1">
      <c r="A61" s="5" t="s">
        <v>133</v>
      </c>
      <c r="B61" s="6" t="s">
        <v>134</v>
      </c>
      <c r="C61" s="6">
        <f t="shared" si="1"/>
        <v>6769</v>
      </c>
      <c r="D61" s="7">
        <v>0.0</v>
      </c>
      <c r="E61" s="7">
        <v>0.0</v>
      </c>
      <c r="F61" s="8"/>
      <c r="G61" s="6">
        <f t="shared" si="3"/>
        <v>5802</v>
      </c>
      <c r="H61" s="6">
        <f t="shared" si="4"/>
        <v>15866</v>
      </c>
      <c r="I61" s="6">
        <f t="shared" si="5"/>
        <v>27597</v>
      </c>
      <c r="J61" s="6">
        <f t="shared" si="6"/>
        <v>85533</v>
      </c>
      <c r="K61" s="9"/>
      <c r="L61" s="9"/>
      <c r="M61" s="9"/>
      <c r="N61" s="9">
        <f t="shared" si="7"/>
        <v>12.63598759</v>
      </c>
      <c r="O61" s="10">
        <f t="shared" si="8"/>
        <v>35</v>
      </c>
      <c r="P61" s="9">
        <v>15.0</v>
      </c>
      <c r="Q61" s="11" t="str">
        <f t="shared" si="9"/>
        <v>cobertura correcta</v>
      </c>
      <c r="R61" s="12"/>
      <c r="S61" s="8"/>
      <c r="T61" s="12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15.75" customHeight="1">
      <c r="A62" s="5" t="s">
        <v>135</v>
      </c>
      <c r="B62" s="6" t="s">
        <v>136</v>
      </c>
      <c r="C62" s="6">
        <f t="shared" si="1"/>
        <v>8491</v>
      </c>
      <c r="D62" s="7">
        <v>0.0</v>
      </c>
      <c r="E62" s="6">
        <f t="shared" ref="E62:E63" si="15">RANDBETWEEN(0, 1000)</f>
        <v>334</v>
      </c>
      <c r="F62" s="8"/>
      <c r="G62" s="6">
        <f t="shared" si="3"/>
        <v>4075</v>
      </c>
      <c r="H62" s="6">
        <f t="shared" si="4"/>
        <v>10689</v>
      </c>
      <c r="I62" s="6">
        <f t="shared" si="5"/>
        <v>20387</v>
      </c>
      <c r="J62" s="6">
        <f t="shared" si="6"/>
        <v>41018</v>
      </c>
      <c r="K62" s="9"/>
      <c r="L62" s="9"/>
      <c r="M62" s="9"/>
      <c r="N62" s="9">
        <f t="shared" si="7"/>
        <v>4.830761983</v>
      </c>
      <c r="O62" s="10">
        <f t="shared" si="8"/>
        <v>62.51042945</v>
      </c>
      <c r="P62" s="9">
        <v>15.0</v>
      </c>
      <c r="Q62" s="11" t="str">
        <f t="shared" si="9"/>
        <v>cobertura correcta</v>
      </c>
      <c r="R62" s="12"/>
      <c r="S62" s="8"/>
      <c r="T62" s="12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15.75" customHeight="1">
      <c r="A63" s="5" t="s">
        <v>137</v>
      </c>
      <c r="B63" s="6" t="s">
        <v>138</v>
      </c>
      <c r="C63" s="6">
        <f t="shared" si="1"/>
        <v>1070</v>
      </c>
      <c r="D63" s="6">
        <f>RANDBETWEEN(0, 350)</f>
        <v>271</v>
      </c>
      <c r="E63" s="6">
        <f t="shared" si="15"/>
        <v>159</v>
      </c>
      <c r="F63" s="8"/>
      <c r="G63" s="6">
        <f t="shared" si="3"/>
        <v>3023</v>
      </c>
      <c r="H63" s="6">
        <f t="shared" si="4"/>
        <v>11824</v>
      </c>
      <c r="I63" s="6">
        <f t="shared" si="5"/>
        <v>26726</v>
      </c>
      <c r="J63" s="6">
        <f t="shared" si="6"/>
        <v>30709</v>
      </c>
      <c r="K63" s="9"/>
      <c r="L63" s="9"/>
      <c r="M63" s="9"/>
      <c r="N63" s="9">
        <f t="shared" si="7"/>
        <v>28.7</v>
      </c>
      <c r="O63" s="10">
        <f t="shared" si="8"/>
        <v>10.6185908</v>
      </c>
      <c r="P63" s="9">
        <v>15.0</v>
      </c>
      <c r="Q63" s="11" t="str">
        <f t="shared" si="9"/>
        <v>¡Compra YA!</v>
      </c>
      <c r="R63" s="12"/>
      <c r="S63" s="8"/>
      <c r="T63" s="12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15.75" customHeight="1">
      <c r="A64" s="5" t="s">
        <v>139</v>
      </c>
      <c r="B64" s="6" t="s">
        <v>140</v>
      </c>
      <c r="C64" s="6">
        <f t="shared" si="1"/>
        <v>2169</v>
      </c>
      <c r="D64" s="7">
        <v>0.0</v>
      </c>
      <c r="E64" s="7">
        <v>0.0</v>
      </c>
      <c r="F64" s="8"/>
      <c r="G64" s="6">
        <f t="shared" si="3"/>
        <v>1747</v>
      </c>
      <c r="H64" s="6">
        <f t="shared" si="4"/>
        <v>12774</v>
      </c>
      <c r="I64" s="6">
        <f t="shared" si="5"/>
        <v>28225</v>
      </c>
      <c r="J64" s="6">
        <f t="shared" si="6"/>
        <v>59671</v>
      </c>
      <c r="K64" s="9"/>
      <c r="L64" s="9"/>
      <c r="M64" s="9"/>
      <c r="N64" s="9">
        <f t="shared" si="7"/>
        <v>27.51083449</v>
      </c>
      <c r="O64" s="10">
        <f t="shared" si="8"/>
        <v>37.24670864</v>
      </c>
      <c r="P64" s="9">
        <v>15.0</v>
      </c>
      <c r="Q64" s="11" t="str">
        <f t="shared" si="9"/>
        <v>cobertura correcta</v>
      </c>
      <c r="R64" s="12"/>
      <c r="S64" s="8"/>
      <c r="T64" s="12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5" t="s">
        <v>141</v>
      </c>
      <c r="B65" s="6" t="s">
        <v>142</v>
      </c>
      <c r="C65" s="6">
        <f t="shared" si="1"/>
        <v>2230</v>
      </c>
      <c r="D65" s="6">
        <f>RANDBETWEEN(0, 350)</f>
        <v>281</v>
      </c>
      <c r="E65" s="6">
        <f t="shared" ref="E65:E68" si="16">RANDBETWEEN(0, 1000)</f>
        <v>927</v>
      </c>
      <c r="F65" s="8"/>
      <c r="G65" s="6">
        <f t="shared" si="3"/>
        <v>7738</v>
      </c>
      <c r="H65" s="6">
        <f t="shared" si="4"/>
        <v>18257</v>
      </c>
      <c r="I65" s="6">
        <f t="shared" si="5"/>
        <v>22363</v>
      </c>
      <c r="J65" s="6">
        <f t="shared" si="6"/>
        <v>62086</v>
      </c>
      <c r="K65" s="9"/>
      <c r="L65" s="9"/>
      <c r="M65" s="9"/>
      <c r="N65" s="9">
        <f t="shared" si="7"/>
        <v>27.84125561</v>
      </c>
      <c r="O65" s="10">
        <f t="shared" si="8"/>
        <v>8.645644869</v>
      </c>
      <c r="P65" s="9">
        <v>15.0</v>
      </c>
      <c r="Q65" s="11" t="str">
        <f t="shared" si="9"/>
        <v>¡Compra YA!</v>
      </c>
      <c r="R65" s="12"/>
      <c r="S65" s="8"/>
      <c r="T65" s="12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15.75" customHeight="1">
      <c r="A66" s="5" t="s">
        <v>143</v>
      </c>
      <c r="B66" s="6" t="s">
        <v>144</v>
      </c>
      <c r="C66" s="6">
        <f t="shared" si="1"/>
        <v>1723</v>
      </c>
      <c r="D66" s="7">
        <v>0.0</v>
      </c>
      <c r="E66" s="6">
        <f t="shared" si="16"/>
        <v>83</v>
      </c>
      <c r="F66" s="8"/>
      <c r="G66" s="6">
        <f t="shared" si="3"/>
        <v>3421</v>
      </c>
      <c r="H66" s="6">
        <f t="shared" si="4"/>
        <v>12768</v>
      </c>
      <c r="I66" s="6">
        <f t="shared" si="5"/>
        <v>25626</v>
      </c>
      <c r="J66" s="6">
        <f t="shared" si="6"/>
        <v>67756</v>
      </c>
      <c r="K66" s="9"/>
      <c r="L66" s="9"/>
      <c r="M66" s="9"/>
      <c r="N66" s="9">
        <f t="shared" si="7"/>
        <v>39.32443413</v>
      </c>
      <c r="O66" s="10">
        <f t="shared" si="8"/>
        <v>15.10961707</v>
      </c>
      <c r="P66" s="9">
        <v>15.0</v>
      </c>
      <c r="Q66" s="11" t="str">
        <f t="shared" si="9"/>
        <v>cobertura correcta</v>
      </c>
      <c r="R66" s="12"/>
      <c r="S66" s="8"/>
      <c r="T66" s="12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15.75" customHeight="1">
      <c r="A67" s="5" t="s">
        <v>145</v>
      </c>
      <c r="B67" s="6" t="s">
        <v>146</v>
      </c>
      <c r="C67" s="6">
        <f t="shared" si="1"/>
        <v>2513</v>
      </c>
      <c r="D67" s="6">
        <f t="shared" ref="D67:D71" si="17">RANDBETWEEN(0, 350)</f>
        <v>288</v>
      </c>
      <c r="E67" s="6">
        <f t="shared" si="16"/>
        <v>269</v>
      </c>
      <c r="F67" s="8"/>
      <c r="G67" s="6">
        <f t="shared" si="3"/>
        <v>8868</v>
      </c>
      <c r="H67" s="6">
        <f t="shared" si="4"/>
        <v>11537</v>
      </c>
      <c r="I67" s="6">
        <f t="shared" si="5"/>
        <v>25609</v>
      </c>
      <c r="J67" s="6">
        <f t="shared" si="6"/>
        <v>59826</v>
      </c>
      <c r="K67" s="9"/>
      <c r="L67" s="9"/>
      <c r="M67" s="9"/>
      <c r="N67" s="9">
        <f t="shared" si="7"/>
        <v>23.80660565</v>
      </c>
      <c r="O67" s="10">
        <f t="shared" si="8"/>
        <v>8.50135318</v>
      </c>
      <c r="P67" s="9">
        <v>15.0</v>
      </c>
      <c r="Q67" s="11" t="str">
        <f t="shared" si="9"/>
        <v>¡Compra YA!</v>
      </c>
      <c r="R67" s="12"/>
      <c r="S67" s="8"/>
      <c r="T67" s="12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15.75" customHeight="1">
      <c r="A68" s="5" t="s">
        <v>147</v>
      </c>
      <c r="B68" s="6" t="s">
        <v>148</v>
      </c>
      <c r="C68" s="6">
        <f t="shared" si="1"/>
        <v>5783</v>
      </c>
      <c r="D68" s="6">
        <f t="shared" si="17"/>
        <v>125</v>
      </c>
      <c r="E68" s="6">
        <f t="shared" si="16"/>
        <v>516</v>
      </c>
      <c r="F68" s="8"/>
      <c r="G68" s="6">
        <f t="shared" si="3"/>
        <v>1601</v>
      </c>
      <c r="H68" s="6">
        <f t="shared" si="4"/>
        <v>17390</v>
      </c>
      <c r="I68" s="6">
        <f t="shared" si="5"/>
        <v>20601</v>
      </c>
      <c r="J68" s="6">
        <f t="shared" si="6"/>
        <v>62762</v>
      </c>
      <c r="K68" s="9"/>
      <c r="L68" s="9"/>
      <c r="M68" s="9"/>
      <c r="N68" s="9">
        <f t="shared" si="7"/>
        <v>10.85284454</v>
      </c>
      <c r="O68" s="10">
        <f t="shared" si="8"/>
        <v>108.3635228</v>
      </c>
      <c r="P68" s="9">
        <v>15.0</v>
      </c>
      <c r="Q68" s="11" t="str">
        <f t="shared" si="9"/>
        <v>cobertura correcta</v>
      </c>
      <c r="R68" s="12"/>
      <c r="S68" s="8"/>
      <c r="T68" s="12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15.75" customHeight="1">
      <c r="A69" s="5" t="s">
        <v>149</v>
      </c>
      <c r="B69" s="6" t="s">
        <v>150</v>
      </c>
      <c r="C69" s="6">
        <f t="shared" si="1"/>
        <v>4514</v>
      </c>
      <c r="D69" s="6">
        <f t="shared" si="17"/>
        <v>111</v>
      </c>
      <c r="E69" s="7">
        <v>0.0</v>
      </c>
      <c r="F69" s="8"/>
      <c r="G69" s="6">
        <f t="shared" si="3"/>
        <v>4136</v>
      </c>
      <c r="H69" s="6">
        <f t="shared" si="4"/>
        <v>10279</v>
      </c>
      <c r="I69" s="6">
        <f t="shared" si="5"/>
        <v>28324</v>
      </c>
      <c r="J69" s="6">
        <f t="shared" si="6"/>
        <v>42379</v>
      </c>
      <c r="K69" s="9"/>
      <c r="L69" s="9"/>
      <c r="M69" s="9"/>
      <c r="N69" s="9">
        <f t="shared" si="7"/>
        <v>9.388347364</v>
      </c>
      <c r="O69" s="10">
        <f t="shared" si="8"/>
        <v>32.7417795</v>
      </c>
      <c r="P69" s="9">
        <v>15.0</v>
      </c>
      <c r="Q69" s="11" t="str">
        <f t="shared" si="9"/>
        <v>cobertura correcta</v>
      </c>
      <c r="R69" s="12"/>
      <c r="S69" s="8"/>
      <c r="T69" s="12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15.75" customHeight="1">
      <c r="A70" s="5" t="s">
        <v>151</v>
      </c>
      <c r="B70" s="6" t="s">
        <v>152</v>
      </c>
      <c r="C70" s="6">
        <f t="shared" si="1"/>
        <v>1821</v>
      </c>
      <c r="D70" s="6">
        <f t="shared" si="17"/>
        <v>217</v>
      </c>
      <c r="E70" s="6">
        <f>RANDBETWEEN(0, 1000)</f>
        <v>483</v>
      </c>
      <c r="F70" s="8"/>
      <c r="G70" s="6">
        <f t="shared" si="3"/>
        <v>2549</v>
      </c>
      <c r="H70" s="6">
        <f t="shared" si="4"/>
        <v>11601</v>
      </c>
      <c r="I70" s="6">
        <f t="shared" si="5"/>
        <v>24571</v>
      </c>
      <c r="J70" s="6">
        <f t="shared" si="6"/>
        <v>98391</v>
      </c>
      <c r="K70" s="9"/>
      <c r="L70" s="9"/>
      <c r="M70" s="9"/>
      <c r="N70" s="9">
        <f t="shared" si="7"/>
        <v>54.03130148</v>
      </c>
      <c r="O70" s="10">
        <f t="shared" si="8"/>
        <v>21.43193409</v>
      </c>
      <c r="P70" s="9">
        <v>15.0</v>
      </c>
      <c r="Q70" s="11" t="str">
        <f t="shared" si="9"/>
        <v>cobertura correcta</v>
      </c>
      <c r="R70" s="12"/>
      <c r="S70" s="8"/>
      <c r="T70" s="12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15.75" customHeight="1">
      <c r="A71" s="5" t="s">
        <v>153</v>
      </c>
      <c r="B71" s="6" t="s">
        <v>154</v>
      </c>
      <c r="C71" s="6">
        <f t="shared" si="1"/>
        <v>6212</v>
      </c>
      <c r="D71" s="6">
        <f t="shared" si="17"/>
        <v>125</v>
      </c>
      <c r="E71" s="7">
        <v>0.0</v>
      </c>
      <c r="F71" s="8"/>
      <c r="G71" s="6">
        <f t="shared" si="3"/>
        <v>6795</v>
      </c>
      <c r="H71" s="6">
        <f t="shared" si="4"/>
        <v>12421</v>
      </c>
      <c r="I71" s="6">
        <f t="shared" si="5"/>
        <v>21923</v>
      </c>
      <c r="J71" s="6">
        <f t="shared" si="6"/>
        <v>81106</v>
      </c>
      <c r="K71" s="9"/>
      <c r="L71" s="9"/>
      <c r="M71" s="9"/>
      <c r="N71" s="9">
        <f t="shared" si="7"/>
        <v>13.05634256</v>
      </c>
      <c r="O71" s="10">
        <f t="shared" si="8"/>
        <v>27.42604857</v>
      </c>
      <c r="P71" s="9">
        <v>15.0</v>
      </c>
      <c r="Q71" s="11" t="str">
        <f t="shared" si="9"/>
        <v>cobertura correcta</v>
      </c>
      <c r="R71" s="12"/>
      <c r="S71" s="8"/>
      <c r="T71" s="12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15.75" customHeight="1">
      <c r="A72" s="5" t="s">
        <v>155</v>
      </c>
      <c r="B72" s="6"/>
      <c r="C72" s="6">
        <f t="shared" si="1"/>
        <v>1276</v>
      </c>
      <c r="D72" s="7">
        <v>0.0</v>
      </c>
      <c r="E72" s="7">
        <v>0.0</v>
      </c>
      <c r="F72" s="8"/>
      <c r="G72" s="6">
        <f t="shared" si="3"/>
        <v>5067</v>
      </c>
      <c r="H72" s="6">
        <f t="shared" si="4"/>
        <v>11687</v>
      </c>
      <c r="I72" s="6">
        <f t="shared" si="5"/>
        <v>23996</v>
      </c>
      <c r="J72" s="6">
        <f t="shared" si="6"/>
        <v>42618</v>
      </c>
      <c r="K72" s="9"/>
      <c r="L72" s="9"/>
      <c r="M72" s="9"/>
      <c r="N72" s="9">
        <f t="shared" si="7"/>
        <v>33.39968652</v>
      </c>
      <c r="O72" s="10">
        <f t="shared" si="8"/>
        <v>7.554766134</v>
      </c>
      <c r="P72" s="9">
        <v>15.0</v>
      </c>
      <c r="Q72" s="11" t="str">
        <f t="shared" si="9"/>
        <v>¡Compra YA!</v>
      </c>
      <c r="R72" s="12"/>
      <c r="S72" s="8"/>
      <c r="T72" s="12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15.75" customHeight="1">
      <c r="A73" s="5" t="s">
        <v>156</v>
      </c>
      <c r="B73" s="6" t="s">
        <v>157</v>
      </c>
      <c r="C73" s="6">
        <f t="shared" si="1"/>
        <v>2343</v>
      </c>
      <c r="D73" s="7">
        <v>0.0</v>
      </c>
      <c r="E73" s="7">
        <v>0.0</v>
      </c>
      <c r="F73" s="8"/>
      <c r="G73" s="6">
        <f t="shared" si="3"/>
        <v>3664</v>
      </c>
      <c r="H73" s="6">
        <f t="shared" si="4"/>
        <v>17123</v>
      </c>
      <c r="I73" s="6">
        <f t="shared" si="5"/>
        <v>19760</v>
      </c>
      <c r="J73" s="6">
        <f t="shared" si="6"/>
        <v>82096</v>
      </c>
      <c r="K73" s="9"/>
      <c r="L73" s="9"/>
      <c r="M73" s="9"/>
      <c r="N73" s="9">
        <f t="shared" si="7"/>
        <v>35.0388391</v>
      </c>
      <c r="O73" s="10">
        <f t="shared" si="8"/>
        <v>19.18395197</v>
      </c>
      <c r="P73" s="9">
        <v>15.0</v>
      </c>
      <c r="Q73" s="11" t="str">
        <f t="shared" si="9"/>
        <v>cobertura correcta</v>
      </c>
      <c r="R73" s="12"/>
      <c r="S73" s="8"/>
      <c r="T73" s="12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15.75" customHeight="1">
      <c r="A74" s="5" t="s">
        <v>158</v>
      </c>
      <c r="B74" s="6" t="s">
        <v>159</v>
      </c>
      <c r="C74" s="6">
        <f t="shared" si="1"/>
        <v>5196</v>
      </c>
      <c r="D74" s="7">
        <v>0.0</v>
      </c>
      <c r="E74" s="7">
        <v>0.0</v>
      </c>
      <c r="F74" s="8"/>
      <c r="G74" s="6">
        <f t="shared" si="3"/>
        <v>5095</v>
      </c>
      <c r="H74" s="6">
        <f t="shared" si="4"/>
        <v>12024</v>
      </c>
      <c r="I74" s="6">
        <f t="shared" si="5"/>
        <v>27375</v>
      </c>
      <c r="J74" s="6">
        <f t="shared" si="6"/>
        <v>96988</v>
      </c>
      <c r="K74" s="9"/>
      <c r="L74" s="9"/>
      <c r="M74" s="9"/>
      <c r="N74" s="9">
        <f t="shared" si="7"/>
        <v>18.66589684</v>
      </c>
      <c r="O74" s="10">
        <f t="shared" si="8"/>
        <v>30.59470069</v>
      </c>
      <c r="P74" s="9">
        <v>15.0</v>
      </c>
      <c r="Q74" s="11" t="str">
        <f t="shared" si="9"/>
        <v>cobertura correcta</v>
      </c>
      <c r="R74" s="12"/>
      <c r="S74" s="8"/>
      <c r="T74" s="12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15.75" customHeight="1">
      <c r="A75" s="5" t="s">
        <v>160</v>
      </c>
      <c r="B75" s="6" t="s">
        <v>161</v>
      </c>
      <c r="C75" s="6">
        <f t="shared" si="1"/>
        <v>4313</v>
      </c>
      <c r="D75" s="7">
        <v>0.0</v>
      </c>
      <c r="E75" s="7">
        <v>0.0</v>
      </c>
      <c r="F75" s="8"/>
      <c r="G75" s="6">
        <f t="shared" si="3"/>
        <v>5507</v>
      </c>
      <c r="H75" s="6">
        <f t="shared" si="4"/>
        <v>17934</v>
      </c>
      <c r="I75" s="6">
        <f t="shared" si="5"/>
        <v>25765</v>
      </c>
      <c r="J75" s="6">
        <f t="shared" si="6"/>
        <v>65510</v>
      </c>
      <c r="K75" s="9"/>
      <c r="L75" s="9"/>
      <c r="M75" s="9"/>
      <c r="N75" s="9">
        <f t="shared" si="7"/>
        <v>15.1889636</v>
      </c>
      <c r="O75" s="10">
        <f t="shared" si="8"/>
        <v>23.49555112</v>
      </c>
      <c r="P75" s="9">
        <v>15.0</v>
      </c>
      <c r="Q75" s="11" t="str">
        <f t="shared" si="9"/>
        <v>cobertura correcta</v>
      </c>
      <c r="R75" s="12"/>
      <c r="S75" s="8"/>
      <c r="T75" s="12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15.75" customHeight="1">
      <c r="A76" s="5" t="s">
        <v>162</v>
      </c>
      <c r="B76" s="6" t="s">
        <v>163</v>
      </c>
      <c r="C76" s="6">
        <f t="shared" si="1"/>
        <v>5291</v>
      </c>
      <c r="D76" s="6">
        <f t="shared" ref="D76:D87" si="18">RANDBETWEEN(0, 350)</f>
        <v>116</v>
      </c>
      <c r="E76" s="7">
        <v>0.0</v>
      </c>
      <c r="F76" s="8"/>
      <c r="G76" s="6">
        <f t="shared" si="3"/>
        <v>6826</v>
      </c>
      <c r="H76" s="6">
        <f t="shared" si="4"/>
        <v>16771</v>
      </c>
      <c r="I76" s="6">
        <f t="shared" si="5"/>
        <v>23577</v>
      </c>
      <c r="J76" s="6">
        <f t="shared" si="6"/>
        <v>77188</v>
      </c>
      <c r="K76" s="9"/>
      <c r="L76" s="9"/>
      <c r="M76" s="9"/>
      <c r="N76" s="9">
        <f t="shared" si="7"/>
        <v>14.58854659</v>
      </c>
      <c r="O76" s="10">
        <f t="shared" si="8"/>
        <v>23.25373572</v>
      </c>
      <c r="P76" s="9">
        <v>15.0</v>
      </c>
      <c r="Q76" s="11" t="str">
        <f t="shared" si="9"/>
        <v>cobertura correcta</v>
      </c>
      <c r="R76" s="12"/>
      <c r="S76" s="8"/>
      <c r="T76" s="12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15.75" customHeight="1">
      <c r="A77" s="5" t="s">
        <v>164</v>
      </c>
      <c r="B77" s="6"/>
      <c r="C77" s="6">
        <f t="shared" si="1"/>
        <v>1695</v>
      </c>
      <c r="D77" s="6">
        <f t="shared" si="18"/>
        <v>259</v>
      </c>
      <c r="E77" s="7">
        <v>0.0</v>
      </c>
      <c r="F77" s="8"/>
      <c r="G77" s="6">
        <f t="shared" si="3"/>
        <v>2985</v>
      </c>
      <c r="H77" s="6">
        <f t="shared" si="4"/>
        <v>16884</v>
      </c>
      <c r="I77" s="6">
        <f t="shared" si="5"/>
        <v>23831</v>
      </c>
      <c r="J77" s="6">
        <f t="shared" si="6"/>
        <v>33187</v>
      </c>
      <c r="K77" s="9"/>
      <c r="L77" s="9"/>
      <c r="M77" s="9"/>
      <c r="N77" s="9">
        <f t="shared" si="7"/>
        <v>19.57935103</v>
      </c>
      <c r="O77" s="10">
        <f t="shared" si="8"/>
        <v>17.03517588</v>
      </c>
      <c r="P77" s="9">
        <v>15.0</v>
      </c>
      <c r="Q77" s="11" t="str">
        <f t="shared" si="9"/>
        <v>cobertura correcta</v>
      </c>
      <c r="R77" s="12"/>
      <c r="S77" s="8"/>
      <c r="T77" s="12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15.75" customHeight="1">
      <c r="A78" s="5" t="s">
        <v>165</v>
      </c>
      <c r="B78" s="6"/>
      <c r="C78" s="6">
        <f t="shared" si="1"/>
        <v>4747</v>
      </c>
      <c r="D78" s="6">
        <f t="shared" si="18"/>
        <v>163</v>
      </c>
      <c r="E78" s="7">
        <v>0.0</v>
      </c>
      <c r="F78" s="8"/>
      <c r="G78" s="6">
        <f t="shared" si="3"/>
        <v>1534</v>
      </c>
      <c r="H78" s="6">
        <f t="shared" si="4"/>
        <v>11717</v>
      </c>
      <c r="I78" s="6">
        <f t="shared" si="5"/>
        <v>21888</v>
      </c>
      <c r="J78" s="6">
        <f t="shared" si="6"/>
        <v>58998</v>
      </c>
      <c r="K78" s="9"/>
      <c r="L78" s="9"/>
      <c r="M78" s="9"/>
      <c r="N78" s="9">
        <f t="shared" si="7"/>
        <v>12.42848115</v>
      </c>
      <c r="O78" s="10">
        <f t="shared" si="8"/>
        <v>92.8357236</v>
      </c>
      <c r="P78" s="9">
        <v>15.0</v>
      </c>
      <c r="Q78" s="11" t="str">
        <f t="shared" si="9"/>
        <v>cobertura correcta</v>
      </c>
      <c r="R78" s="12"/>
      <c r="S78" s="8"/>
      <c r="T78" s="12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A79" s="5" t="s">
        <v>166</v>
      </c>
      <c r="B79" s="6" t="s">
        <v>167</v>
      </c>
      <c r="C79" s="6">
        <f t="shared" si="1"/>
        <v>7010</v>
      </c>
      <c r="D79" s="6">
        <f t="shared" si="18"/>
        <v>255</v>
      </c>
      <c r="E79" s="7">
        <v>0.0</v>
      </c>
      <c r="F79" s="8"/>
      <c r="G79" s="6">
        <f t="shared" si="3"/>
        <v>7396</v>
      </c>
      <c r="H79" s="6">
        <f t="shared" si="4"/>
        <v>17981</v>
      </c>
      <c r="I79" s="6">
        <f t="shared" si="5"/>
        <v>20172</v>
      </c>
      <c r="J79" s="6">
        <f t="shared" si="6"/>
        <v>47802</v>
      </c>
      <c r="K79" s="9"/>
      <c r="L79" s="9"/>
      <c r="M79" s="9"/>
      <c r="N79" s="9">
        <f t="shared" si="7"/>
        <v>6.819115549</v>
      </c>
      <c r="O79" s="10">
        <f t="shared" si="8"/>
        <v>28.4342888</v>
      </c>
      <c r="P79" s="9">
        <v>15.0</v>
      </c>
      <c r="Q79" s="11" t="str">
        <f t="shared" si="9"/>
        <v>cobertura correcta</v>
      </c>
      <c r="R79" s="12"/>
      <c r="S79" s="8"/>
      <c r="T79" s="12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15.75" customHeight="1">
      <c r="A80" s="5" t="s">
        <v>168</v>
      </c>
      <c r="B80" s="6" t="s">
        <v>169</v>
      </c>
      <c r="C80" s="6">
        <f t="shared" si="1"/>
        <v>3514</v>
      </c>
      <c r="D80" s="6">
        <f t="shared" si="18"/>
        <v>87</v>
      </c>
      <c r="E80" s="7">
        <v>0.0</v>
      </c>
      <c r="F80" s="8"/>
      <c r="G80" s="6">
        <f t="shared" si="3"/>
        <v>5200</v>
      </c>
      <c r="H80" s="6">
        <f t="shared" si="4"/>
        <v>9769</v>
      </c>
      <c r="I80" s="6">
        <f t="shared" si="5"/>
        <v>21694</v>
      </c>
      <c r="J80" s="6">
        <f t="shared" si="6"/>
        <v>65221</v>
      </c>
      <c r="K80" s="9"/>
      <c r="L80" s="9"/>
      <c r="M80" s="9"/>
      <c r="N80" s="9">
        <f t="shared" si="7"/>
        <v>18.56033011</v>
      </c>
      <c r="O80" s="10">
        <f t="shared" si="8"/>
        <v>20.27307692</v>
      </c>
      <c r="P80" s="9">
        <v>15.0</v>
      </c>
      <c r="Q80" s="11" t="str">
        <f t="shared" si="9"/>
        <v>cobertura correcta</v>
      </c>
      <c r="R80" s="12"/>
      <c r="S80" s="8"/>
      <c r="T80" s="12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15.75" customHeight="1">
      <c r="A81" s="5" t="s">
        <v>170</v>
      </c>
      <c r="B81" s="6" t="s">
        <v>171</v>
      </c>
      <c r="C81" s="6">
        <f t="shared" si="1"/>
        <v>5688</v>
      </c>
      <c r="D81" s="6">
        <f t="shared" si="18"/>
        <v>296</v>
      </c>
      <c r="E81" s="7">
        <v>0.0</v>
      </c>
      <c r="F81" s="8"/>
      <c r="G81" s="6">
        <f t="shared" si="3"/>
        <v>1704</v>
      </c>
      <c r="H81" s="6">
        <f t="shared" si="4"/>
        <v>18223</v>
      </c>
      <c r="I81" s="6">
        <f t="shared" si="5"/>
        <v>24073</v>
      </c>
      <c r="J81" s="6">
        <f t="shared" si="6"/>
        <v>30073</v>
      </c>
      <c r="K81" s="9"/>
      <c r="L81" s="9"/>
      <c r="M81" s="9"/>
      <c r="N81" s="9">
        <f t="shared" si="7"/>
        <v>5.28709564</v>
      </c>
      <c r="O81" s="10">
        <f t="shared" si="8"/>
        <v>100.1408451</v>
      </c>
      <c r="P81" s="9">
        <v>15.0</v>
      </c>
      <c r="Q81" s="11" t="str">
        <f t="shared" si="9"/>
        <v>cobertura correcta</v>
      </c>
      <c r="R81" s="12"/>
      <c r="S81" s="8"/>
      <c r="T81" s="12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15.75" customHeight="1">
      <c r="A82" s="5" t="s">
        <v>172</v>
      </c>
      <c r="B82" s="6" t="s">
        <v>173</v>
      </c>
      <c r="C82" s="6">
        <f t="shared" si="1"/>
        <v>1276</v>
      </c>
      <c r="D82" s="6">
        <f t="shared" si="18"/>
        <v>266</v>
      </c>
      <c r="E82" s="6">
        <f t="shared" ref="E82:E85" si="19">RANDBETWEEN(0, 1000)</f>
        <v>678</v>
      </c>
      <c r="F82" s="8"/>
      <c r="G82" s="6">
        <f t="shared" si="3"/>
        <v>8950</v>
      </c>
      <c r="H82" s="6">
        <f t="shared" si="4"/>
        <v>12634</v>
      </c>
      <c r="I82" s="6">
        <f t="shared" si="5"/>
        <v>27975</v>
      </c>
      <c r="J82" s="6">
        <f t="shared" si="6"/>
        <v>74241</v>
      </c>
      <c r="K82" s="9"/>
      <c r="L82" s="9"/>
      <c r="M82" s="9"/>
      <c r="N82" s="9">
        <f t="shared" si="7"/>
        <v>58.18260188</v>
      </c>
      <c r="O82" s="10">
        <f t="shared" si="8"/>
        <v>4.277094972</v>
      </c>
      <c r="P82" s="9">
        <v>15.0</v>
      </c>
      <c r="Q82" s="11" t="str">
        <f t="shared" si="9"/>
        <v>¡Compra YA!</v>
      </c>
      <c r="R82" s="12"/>
      <c r="S82" s="8"/>
      <c r="T82" s="12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15.75" customHeight="1">
      <c r="A83" s="5" t="s">
        <v>174</v>
      </c>
      <c r="B83" s="6" t="s">
        <v>175</v>
      </c>
      <c r="C83" s="6">
        <f t="shared" si="1"/>
        <v>4246</v>
      </c>
      <c r="D83" s="6">
        <f t="shared" si="18"/>
        <v>0</v>
      </c>
      <c r="E83" s="6">
        <f t="shared" si="19"/>
        <v>6</v>
      </c>
      <c r="F83" s="8"/>
      <c r="G83" s="6">
        <f t="shared" si="3"/>
        <v>5374</v>
      </c>
      <c r="H83" s="6">
        <f t="shared" si="4"/>
        <v>16551</v>
      </c>
      <c r="I83" s="6">
        <f t="shared" si="5"/>
        <v>24265</v>
      </c>
      <c r="J83" s="6">
        <f t="shared" si="6"/>
        <v>69338</v>
      </c>
      <c r="K83" s="9"/>
      <c r="L83" s="9"/>
      <c r="M83" s="9"/>
      <c r="N83" s="9">
        <f t="shared" si="7"/>
        <v>16.33019312</v>
      </c>
      <c r="O83" s="10">
        <f t="shared" si="8"/>
        <v>23.70301451</v>
      </c>
      <c r="P83" s="9">
        <v>15.0</v>
      </c>
      <c r="Q83" s="11" t="str">
        <f t="shared" si="9"/>
        <v>cobertura correcta</v>
      </c>
      <c r="R83" s="12"/>
      <c r="S83" s="8"/>
      <c r="T83" s="12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15.75" customHeight="1">
      <c r="A84" s="5" t="s">
        <v>176</v>
      </c>
      <c r="B84" s="6" t="s">
        <v>177</v>
      </c>
      <c r="C84" s="6">
        <f t="shared" si="1"/>
        <v>5897</v>
      </c>
      <c r="D84" s="6">
        <f t="shared" si="18"/>
        <v>193</v>
      </c>
      <c r="E84" s="6">
        <f t="shared" si="19"/>
        <v>214</v>
      </c>
      <c r="F84" s="8"/>
      <c r="G84" s="6">
        <f t="shared" si="3"/>
        <v>1662</v>
      </c>
      <c r="H84" s="6">
        <f t="shared" si="4"/>
        <v>16688</v>
      </c>
      <c r="I84" s="6">
        <f t="shared" si="5"/>
        <v>19255</v>
      </c>
      <c r="J84" s="6">
        <f t="shared" si="6"/>
        <v>60449</v>
      </c>
      <c r="K84" s="9"/>
      <c r="L84" s="9"/>
      <c r="M84" s="9"/>
      <c r="N84" s="9">
        <f t="shared" si="7"/>
        <v>10.25080549</v>
      </c>
      <c r="O84" s="10">
        <f t="shared" si="8"/>
        <v>106.4440433</v>
      </c>
      <c r="P84" s="9">
        <v>15.0</v>
      </c>
      <c r="Q84" s="11" t="str">
        <f t="shared" si="9"/>
        <v>cobertura correcta</v>
      </c>
      <c r="R84" s="12"/>
      <c r="S84" s="8"/>
      <c r="T84" s="12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15.75" customHeight="1">
      <c r="A85" s="5" t="s">
        <v>178</v>
      </c>
      <c r="B85" s="6" t="s">
        <v>179</v>
      </c>
      <c r="C85" s="6">
        <f t="shared" si="1"/>
        <v>8722</v>
      </c>
      <c r="D85" s="6">
        <f t="shared" si="18"/>
        <v>124</v>
      </c>
      <c r="E85" s="6">
        <f t="shared" si="19"/>
        <v>69</v>
      </c>
      <c r="F85" s="8"/>
      <c r="G85" s="6">
        <f t="shared" si="3"/>
        <v>4019</v>
      </c>
      <c r="H85" s="6">
        <f t="shared" si="4"/>
        <v>17770</v>
      </c>
      <c r="I85" s="6">
        <f t="shared" si="5"/>
        <v>27337</v>
      </c>
      <c r="J85" s="6">
        <f t="shared" si="6"/>
        <v>96698</v>
      </c>
      <c r="K85" s="9"/>
      <c r="L85" s="9"/>
      <c r="M85" s="9"/>
      <c r="N85" s="9">
        <f t="shared" si="7"/>
        <v>11.08667737</v>
      </c>
      <c r="O85" s="10">
        <f t="shared" si="8"/>
        <v>65.1057477</v>
      </c>
      <c r="P85" s="9">
        <v>15.0</v>
      </c>
      <c r="Q85" s="11" t="str">
        <f t="shared" si="9"/>
        <v>cobertura correcta</v>
      </c>
      <c r="R85" s="12"/>
      <c r="S85" s="8"/>
      <c r="T85" s="12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15.75" customHeight="1">
      <c r="A86" s="5" t="s">
        <v>180</v>
      </c>
      <c r="B86" s="6" t="s">
        <v>181</v>
      </c>
      <c r="C86" s="6">
        <f t="shared" si="1"/>
        <v>6326</v>
      </c>
      <c r="D86" s="6">
        <f t="shared" si="18"/>
        <v>141</v>
      </c>
      <c r="E86" s="7">
        <v>0.0</v>
      </c>
      <c r="F86" s="8"/>
      <c r="G86" s="6">
        <f t="shared" si="3"/>
        <v>8835</v>
      </c>
      <c r="H86" s="6">
        <f t="shared" si="4"/>
        <v>18546</v>
      </c>
      <c r="I86" s="6">
        <f t="shared" si="5"/>
        <v>26603</v>
      </c>
      <c r="J86" s="6">
        <f t="shared" si="6"/>
        <v>65361</v>
      </c>
      <c r="K86" s="9"/>
      <c r="L86" s="9"/>
      <c r="M86" s="9"/>
      <c r="N86" s="9">
        <f t="shared" si="7"/>
        <v>10.3321214</v>
      </c>
      <c r="O86" s="10">
        <f t="shared" si="8"/>
        <v>21.48047538</v>
      </c>
      <c r="P86" s="9">
        <v>15.0</v>
      </c>
      <c r="Q86" s="11" t="str">
        <f t="shared" si="9"/>
        <v>cobertura correcta</v>
      </c>
      <c r="R86" s="12"/>
      <c r="S86" s="8"/>
      <c r="T86" s="12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15.75" customHeight="1">
      <c r="A87" s="5" t="s">
        <v>182</v>
      </c>
      <c r="B87" s="6" t="s">
        <v>183</v>
      </c>
      <c r="C87" s="6">
        <f t="shared" si="1"/>
        <v>6909</v>
      </c>
      <c r="D87" s="6">
        <f t="shared" si="18"/>
        <v>35</v>
      </c>
      <c r="E87" s="7">
        <v>0.0</v>
      </c>
      <c r="F87" s="8"/>
      <c r="G87" s="6">
        <f t="shared" si="3"/>
        <v>6600</v>
      </c>
      <c r="H87" s="6">
        <f t="shared" si="4"/>
        <v>12814</v>
      </c>
      <c r="I87" s="6">
        <f t="shared" si="5"/>
        <v>28194</v>
      </c>
      <c r="J87" s="6">
        <f t="shared" si="6"/>
        <v>69876</v>
      </c>
      <c r="K87" s="9"/>
      <c r="L87" s="9"/>
      <c r="M87" s="9"/>
      <c r="N87" s="9">
        <f t="shared" si="7"/>
        <v>10.11376465</v>
      </c>
      <c r="O87" s="10">
        <f t="shared" si="8"/>
        <v>31.40454545</v>
      </c>
      <c r="P87" s="9">
        <v>15.0</v>
      </c>
      <c r="Q87" s="11" t="str">
        <f t="shared" si="9"/>
        <v>cobertura correcta</v>
      </c>
      <c r="R87" s="12"/>
      <c r="S87" s="8"/>
      <c r="T87" s="12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15.75" customHeight="1">
      <c r="A88" s="5" t="s">
        <v>184</v>
      </c>
      <c r="B88" s="6" t="s">
        <v>185</v>
      </c>
      <c r="C88" s="6">
        <f t="shared" si="1"/>
        <v>5918</v>
      </c>
      <c r="D88" s="7">
        <v>0.0</v>
      </c>
      <c r="E88" s="7">
        <v>0.0</v>
      </c>
      <c r="F88" s="8"/>
      <c r="G88" s="6">
        <f t="shared" si="3"/>
        <v>2507</v>
      </c>
      <c r="H88" s="6">
        <f t="shared" si="4"/>
        <v>14850</v>
      </c>
      <c r="I88" s="6">
        <f t="shared" si="5"/>
        <v>23694</v>
      </c>
      <c r="J88" s="6">
        <f t="shared" si="6"/>
        <v>70428</v>
      </c>
      <c r="K88" s="9"/>
      <c r="L88" s="9"/>
      <c r="M88" s="9"/>
      <c r="N88" s="9">
        <f t="shared" si="7"/>
        <v>11.90064211</v>
      </c>
      <c r="O88" s="10">
        <f t="shared" si="8"/>
        <v>70.81771041</v>
      </c>
      <c r="P88" s="9">
        <v>15.0</v>
      </c>
      <c r="Q88" s="11" t="str">
        <f t="shared" si="9"/>
        <v>cobertura correcta</v>
      </c>
      <c r="R88" s="12"/>
      <c r="S88" s="8"/>
      <c r="T88" s="12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15.75" customHeight="1">
      <c r="A89" s="5" t="s">
        <v>186</v>
      </c>
      <c r="B89" s="6" t="s">
        <v>187</v>
      </c>
      <c r="C89" s="6">
        <f t="shared" si="1"/>
        <v>6169</v>
      </c>
      <c r="D89" s="6">
        <f>RANDBETWEEN(0, 350)</f>
        <v>341</v>
      </c>
      <c r="E89" s="7">
        <v>0.0</v>
      </c>
      <c r="F89" s="8"/>
      <c r="G89" s="6">
        <f t="shared" si="3"/>
        <v>1780</v>
      </c>
      <c r="H89" s="6">
        <f t="shared" si="4"/>
        <v>17126</v>
      </c>
      <c r="I89" s="6">
        <f t="shared" si="5"/>
        <v>28506</v>
      </c>
      <c r="J89" s="6">
        <f t="shared" si="6"/>
        <v>75174</v>
      </c>
      <c r="K89" s="9"/>
      <c r="L89" s="9"/>
      <c r="M89" s="9"/>
      <c r="N89" s="9">
        <f t="shared" si="7"/>
        <v>12.18576755</v>
      </c>
      <c r="O89" s="10">
        <f t="shared" si="8"/>
        <v>103.9719101</v>
      </c>
      <c r="P89" s="9">
        <v>15.0</v>
      </c>
      <c r="Q89" s="11" t="str">
        <f t="shared" si="9"/>
        <v>cobertura correcta</v>
      </c>
      <c r="R89" s="12"/>
      <c r="S89" s="8"/>
      <c r="T89" s="12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15.75" customHeight="1">
      <c r="A90" s="5" t="s">
        <v>188</v>
      </c>
      <c r="B90" s="6" t="s">
        <v>189</v>
      </c>
      <c r="C90" s="6">
        <f t="shared" si="1"/>
        <v>4653</v>
      </c>
      <c r="D90" s="7">
        <v>0.0</v>
      </c>
      <c r="E90" s="7">
        <v>0.0</v>
      </c>
      <c r="F90" s="8"/>
      <c r="G90" s="6">
        <f t="shared" si="3"/>
        <v>4014</v>
      </c>
      <c r="H90" s="6">
        <f t="shared" si="4"/>
        <v>16349</v>
      </c>
      <c r="I90" s="6">
        <f t="shared" si="5"/>
        <v>19697</v>
      </c>
      <c r="J90" s="6">
        <f t="shared" si="6"/>
        <v>91069</v>
      </c>
      <c r="K90" s="9"/>
      <c r="L90" s="9"/>
      <c r="M90" s="9"/>
      <c r="N90" s="9">
        <f t="shared" si="7"/>
        <v>19.57210402</v>
      </c>
      <c r="O90" s="10">
        <f t="shared" si="8"/>
        <v>34.77578475</v>
      </c>
      <c r="P90" s="9">
        <v>15.0</v>
      </c>
      <c r="Q90" s="11" t="str">
        <f t="shared" si="9"/>
        <v>cobertura correcta</v>
      </c>
      <c r="R90" s="12"/>
      <c r="S90" s="8"/>
      <c r="T90" s="12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15.75" customHeight="1">
      <c r="A91" s="5" t="s">
        <v>190</v>
      </c>
      <c r="B91" s="6"/>
      <c r="C91" s="6">
        <f t="shared" si="1"/>
        <v>5380</v>
      </c>
      <c r="D91" s="6">
        <f>RANDBETWEEN(0, 350)</f>
        <v>281</v>
      </c>
      <c r="E91" s="7">
        <v>0.0</v>
      </c>
      <c r="F91" s="8"/>
      <c r="G91" s="6">
        <f t="shared" si="3"/>
        <v>5098</v>
      </c>
      <c r="H91" s="6">
        <f t="shared" si="4"/>
        <v>10198</v>
      </c>
      <c r="I91" s="6">
        <f t="shared" si="5"/>
        <v>28456</v>
      </c>
      <c r="J91" s="6">
        <f t="shared" si="6"/>
        <v>91488</v>
      </c>
      <c r="K91" s="9"/>
      <c r="L91" s="9"/>
      <c r="M91" s="9"/>
      <c r="N91" s="9">
        <f t="shared" si="7"/>
        <v>17.00520446</v>
      </c>
      <c r="O91" s="10">
        <f t="shared" si="8"/>
        <v>31.6594743</v>
      </c>
      <c r="P91" s="9">
        <v>15.0</v>
      </c>
      <c r="Q91" s="11" t="str">
        <f t="shared" si="9"/>
        <v>cobertura correcta</v>
      </c>
      <c r="R91" s="12"/>
      <c r="S91" s="8"/>
      <c r="T91" s="12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15.75" customHeight="1">
      <c r="A92" s="5" t="s">
        <v>191</v>
      </c>
      <c r="B92" s="6" t="s">
        <v>192</v>
      </c>
      <c r="C92" s="6">
        <f t="shared" si="1"/>
        <v>7241</v>
      </c>
      <c r="D92" s="7">
        <v>0.0</v>
      </c>
      <c r="E92" s="7">
        <v>0.0</v>
      </c>
      <c r="F92" s="8"/>
      <c r="G92" s="6">
        <f t="shared" si="3"/>
        <v>4312</v>
      </c>
      <c r="H92" s="6">
        <f t="shared" si="4"/>
        <v>11658</v>
      </c>
      <c r="I92" s="6">
        <f t="shared" si="5"/>
        <v>23449</v>
      </c>
      <c r="J92" s="6">
        <f t="shared" si="6"/>
        <v>54441</v>
      </c>
      <c r="K92" s="9"/>
      <c r="L92" s="9"/>
      <c r="M92" s="9"/>
      <c r="N92" s="9">
        <f t="shared" si="7"/>
        <v>7.51843668</v>
      </c>
      <c r="O92" s="10">
        <f t="shared" si="8"/>
        <v>50.37801484</v>
      </c>
      <c r="P92" s="9">
        <v>15.0</v>
      </c>
      <c r="Q92" s="11" t="str">
        <f t="shared" si="9"/>
        <v>cobertura correcta</v>
      </c>
      <c r="R92" s="12"/>
      <c r="S92" s="8"/>
      <c r="T92" s="12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15.75" customHeight="1">
      <c r="A93" s="5" t="s">
        <v>193</v>
      </c>
      <c r="B93" s="6" t="s">
        <v>194</v>
      </c>
      <c r="C93" s="6">
        <f t="shared" si="1"/>
        <v>2401</v>
      </c>
      <c r="D93" s="6">
        <f>RANDBETWEEN(0, 350)</f>
        <v>137</v>
      </c>
      <c r="E93" s="7">
        <v>0.0</v>
      </c>
      <c r="F93" s="8"/>
      <c r="G93" s="6">
        <f t="shared" si="3"/>
        <v>4063</v>
      </c>
      <c r="H93" s="6">
        <f t="shared" si="4"/>
        <v>16459</v>
      </c>
      <c r="I93" s="6">
        <f t="shared" si="5"/>
        <v>26840</v>
      </c>
      <c r="J93" s="6">
        <f t="shared" si="6"/>
        <v>95423</v>
      </c>
      <c r="K93" s="9"/>
      <c r="L93" s="9"/>
      <c r="M93" s="9"/>
      <c r="N93" s="9">
        <f t="shared" si="7"/>
        <v>39.74302374</v>
      </c>
      <c r="O93" s="10">
        <f t="shared" si="8"/>
        <v>17.7282796</v>
      </c>
      <c r="P93" s="9">
        <v>15.0</v>
      </c>
      <c r="Q93" s="11" t="str">
        <f t="shared" si="9"/>
        <v>cobertura correcta</v>
      </c>
      <c r="R93" s="12"/>
      <c r="S93" s="8"/>
      <c r="T93" s="12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15.75" customHeight="1">
      <c r="A94" s="5" t="s">
        <v>195</v>
      </c>
      <c r="B94" s="6" t="s">
        <v>196</v>
      </c>
      <c r="C94" s="6">
        <f t="shared" si="1"/>
        <v>7651</v>
      </c>
      <c r="D94" s="7">
        <v>0.0</v>
      </c>
      <c r="E94" s="7">
        <v>0.0</v>
      </c>
      <c r="F94" s="8"/>
      <c r="G94" s="6">
        <f t="shared" si="3"/>
        <v>5200</v>
      </c>
      <c r="H94" s="6">
        <f t="shared" si="4"/>
        <v>15424</v>
      </c>
      <c r="I94" s="6">
        <f t="shared" si="5"/>
        <v>21215</v>
      </c>
      <c r="J94" s="6">
        <f t="shared" si="6"/>
        <v>42036</v>
      </c>
      <c r="K94" s="9"/>
      <c r="L94" s="9"/>
      <c r="M94" s="9"/>
      <c r="N94" s="9">
        <f t="shared" si="7"/>
        <v>5.494183767</v>
      </c>
      <c r="O94" s="10">
        <f t="shared" si="8"/>
        <v>44.14038462</v>
      </c>
      <c r="P94" s="9">
        <v>15.0</v>
      </c>
      <c r="Q94" s="11" t="str">
        <f t="shared" si="9"/>
        <v>cobertura correcta</v>
      </c>
      <c r="R94" s="12"/>
      <c r="S94" s="8"/>
      <c r="T94" s="12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15.75" customHeight="1">
      <c r="A95" s="5" t="s">
        <v>197</v>
      </c>
      <c r="B95" s="6" t="s">
        <v>198</v>
      </c>
      <c r="C95" s="6">
        <f t="shared" si="1"/>
        <v>6459</v>
      </c>
      <c r="D95" s="6">
        <f t="shared" ref="D95:D99" si="20">RANDBETWEEN(0, 350)</f>
        <v>192</v>
      </c>
      <c r="E95" s="7">
        <v>0.0</v>
      </c>
      <c r="F95" s="8"/>
      <c r="G95" s="6">
        <f t="shared" si="3"/>
        <v>4302</v>
      </c>
      <c r="H95" s="6">
        <f t="shared" si="4"/>
        <v>17083</v>
      </c>
      <c r="I95" s="6">
        <f t="shared" si="5"/>
        <v>19909</v>
      </c>
      <c r="J95" s="6">
        <f t="shared" si="6"/>
        <v>68042</v>
      </c>
      <c r="K95" s="9"/>
      <c r="L95" s="9"/>
      <c r="M95" s="9"/>
      <c r="N95" s="9">
        <f t="shared" si="7"/>
        <v>10.53444806</v>
      </c>
      <c r="O95" s="10">
        <f t="shared" si="8"/>
        <v>45.041841</v>
      </c>
      <c r="P95" s="9">
        <v>15.0</v>
      </c>
      <c r="Q95" s="11" t="str">
        <f t="shared" si="9"/>
        <v>cobertura correcta</v>
      </c>
      <c r="R95" s="12"/>
      <c r="S95" s="8"/>
      <c r="T95" s="12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15.75" customHeight="1">
      <c r="A96" s="5" t="s">
        <v>199</v>
      </c>
      <c r="B96" s="6" t="s">
        <v>200</v>
      </c>
      <c r="C96" s="6">
        <f t="shared" si="1"/>
        <v>2792</v>
      </c>
      <c r="D96" s="6">
        <f t="shared" si="20"/>
        <v>242</v>
      </c>
      <c r="E96" s="7">
        <v>0.0</v>
      </c>
      <c r="F96" s="8"/>
      <c r="G96" s="6">
        <f t="shared" si="3"/>
        <v>3950</v>
      </c>
      <c r="H96" s="6">
        <f t="shared" si="4"/>
        <v>16262</v>
      </c>
      <c r="I96" s="6">
        <f t="shared" si="5"/>
        <v>22879</v>
      </c>
      <c r="J96" s="6">
        <f t="shared" si="6"/>
        <v>93981</v>
      </c>
      <c r="K96" s="9"/>
      <c r="L96" s="9"/>
      <c r="M96" s="9"/>
      <c r="N96" s="9">
        <f t="shared" si="7"/>
        <v>33.66081662</v>
      </c>
      <c r="O96" s="10">
        <f t="shared" si="8"/>
        <v>21.20506329</v>
      </c>
      <c r="P96" s="9">
        <v>15.0</v>
      </c>
      <c r="Q96" s="11" t="str">
        <f t="shared" si="9"/>
        <v>cobertura correcta</v>
      </c>
      <c r="R96" s="12"/>
      <c r="S96" s="8"/>
      <c r="T96" s="12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15.75" customHeight="1">
      <c r="A97" s="5" t="s">
        <v>201</v>
      </c>
      <c r="B97" s="6" t="s">
        <v>202</v>
      </c>
      <c r="C97" s="6">
        <f t="shared" si="1"/>
        <v>2659</v>
      </c>
      <c r="D97" s="6">
        <f t="shared" si="20"/>
        <v>37</v>
      </c>
      <c r="E97" s="6">
        <f t="shared" ref="E97:E98" si="21">RANDBETWEEN(0, 1000)</f>
        <v>738</v>
      </c>
      <c r="F97" s="8"/>
      <c r="G97" s="6">
        <f t="shared" si="3"/>
        <v>4035</v>
      </c>
      <c r="H97" s="6">
        <f t="shared" si="4"/>
        <v>15411</v>
      </c>
      <c r="I97" s="6">
        <f t="shared" si="5"/>
        <v>26226</v>
      </c>
      <c r="J97" s="6">
        <f t="shared" si="6"/>
        <v>64849</v>
      </c>
      <c r="K97" s="9"/>
      <c r="L97" s="9"/>
      <c r="M97" s="9"/>
      <c r="N97" s="9">
        <f t="shared" si="7"/>
        <v>24.38849191</v>
      </c>
      <c r="O97" s="10">
        <f t="shared" si="8"/>
        <v>19.76951673</v>
      </c>
      <c r="P97" s="9">
        <v>15.0</v>
      </c>
      <c r="Q97" s="11" t="str">
        <f t="shared" si="9"/>
        <v>cobertura correcta</v>
      </c>
      <c r="R97" s="12"/>
      <c r="S97" s="8"/>
      <c r="T97" s="12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15.75" customHeight="1">
      <c r="A98" s="5" t="s">
        <v>203</v>
      </c>
      <c r="B98" s="6" t="s">
        <v>204</v>
      </c>
      <c r="C98" s="6">
        <f t="shared" si="1"/>
        <v>3268</v>
      </c>
      <c r="D98" s="6">
        <f t="shared" si="20"/>
        <v>65</v>
      </c>
      <c r="E98" s="6">
        <f t="shared" si="21"/>
        <v>47</v>
      </c>
      <c r="F98" s="8"/>
      <c r="G98" s="6">
        <f t="shared" si="3"/>
        <v>8448</v>
      </c>
      <c r="H98" s="6">
        <f t="shared" si="4"/>
        <v>14969</v>
      </c>
      <c r="I98" s="6">
        <f t="shared" si="5"/>
        <v>25991</v>
      </c>
      <c r="J98" s="6">
        <f t="shared" si="6"/>
        <v>74440</v>
      </c>
      <c r="K98" s="9"/>
      <c r="L98" s="9"/>
      <c r="M98" s="9"/>
      <c r="N98" s="9">
        <f t="shared" si="7"/>
        <v>22.77845777</v>
      </c>
      <c r="O98" s="10">
        <f t="shared" si="8"/>
        <v>11.60511364</v>
      </c>
      <c r="P98" s="9">
        <v>15.0</v>
      </c>
      <c r="Q98" s="11" t="str">
        <f t="shared" si="9"/>
        <v>¡Compra YA!</v>
      </c>
      <c r="R98" s="12"/>
      <c r="S98" s="8"/>
      <c r="T98" s="12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15.75" customHeight="1">
      <c r="A99" s="5" t="s">
        <v>205</v>
      </c>
      <c r="B99" s="6" t="s">
        <v>206</v>
      </c>
      <c r="C99" s="6">
        <f t="shared" si="1"/>
        <v>1971</v>
      </c>
      <c r="D99" s="6">
        <f t="shared" si="20"/>
        <v>280</v>
      </c>
      <c r="E99" s="7">
        <v>0.0</v>
      </c>
      <c r="F99" s="8"/>
      <c r="G99" s="6">
        <f t="shared" si="3"/>
        <v>8857</v>
      </c>
      <c r="H99" s="6">
        <f t="shared" si="4"/>
        <v>13551</v>
      </c>
      <c r="I99" s="6">
        <f t="shared" si="5"/>
        <v>22525</v>
      </c>
      <c r="J99" s="6">
        <f t="shared" si="6"/>
        <v>90121</v>
      </c>
      <c r="K99" s="9"/>
      <c r="L99" s="9"/>
      <c r="M99" s="9"/>
      <c r="N99" s="9">
        <f t="shared" si="7"/>
        <v>45.72349061</v>
      </c>
      <c r="O99" s="10">
        <f t="shared" si="8"/>
        <v>6.676075421</v>
      </c>
      <c r="P99" s="9">
        <v>15.0</v>
      </c>
      <c r="Q99" s="11" t="str">
        <f t="shared" si="9"/>
        <v>¡Compra YA!</v>
      </c>
      <c r="R99" s="12"/>
      <c r="S99" s="8"/>
      <c r="T99" s="12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15.75" customHeight="1">
      <c r="A100" s="5" t="s">
        <v>207</v>
      </c>
      <c r="B100" s="6" t="s">
        <v>208</v>
      </c>
      <c r="C100" s="6">
        <f t="shared" si="1"/>
        <v>4196</v>
      </c>
      <c r="D100" s="7">
        <v>0.0</v>
      </c>
      <c r="E100" s="6">
        <f>RANDBETWEEN(0, 1000)</f>
        <v>565</v>
      </c>
      <c r="F100" s="8"/>
      <c r="G100" s="6">
        <f t="shared" si="3"/>
        <v>6217</v>
      </c>
      <c r="H100" s="6">
        <f t="shared" si="4"/>
        <v>14692</v>
      </c>
      <c r="I100" s="6">
        <f t="shared" si="5"/>
        <v>22150</v>
      </c>
      <c r="J100" s="6">
        <f t="shared" si="6"/>
        <v>81823</v>
      </c>
      <c r="K100" s="9"/>
      <c r="L100" s="9"/>
      <c r="M100" s="9"/>
      <c r="N100" s="9">
        <f t="shared" si="7"/>
        <v>19.50023832</v>
      </c>
      <c r="O100" s="10">
        <f t="shared" si="8"/>
        <v>20.2477079</v>
      </c>
      <c r="P100" s="9">
        <v>15.0</v>
      </c>
      <c r="Q100" s="11" t="str">
        <f t="shared" si="9"/>
        <v>cobertura correcta</v>
      </c>
      <c r="R100" s="12"/>
      <c r="S100" s="8"/>
      <c r="T100" s="12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15.75" customHeight="1">
      <c r="A101" s="5" t="s">
        <v>209</v>
      </c>
      <c r="B101" s="6" t="s">
        <v>210</v>
      </c>
      <c r="C101" s="6">
        <f t="shared" si="1"/>
        <v>6253</v>
      </c>
      <c r="D101" s="7">
        <v>0.0</v>
      </c>
      <c r="E101" s="7">
        <v>0.0</v>
      </c>
      <c r="F101" s="8"/>
      <c r="G101" s="6">
        <f t="shared" si="3"/>
        <v>2783</v>
      </c>
      <c r="H101" s="6">
        <f t="shared" si="4"/>
        <v>12350</v>
      </c>
      <c r="I101" s="6">
        <f t="shared" si="5"/>
        <v>19194</v>
      </c>
      <c r="J101" s="6">
        <f t="shared" si="6"/>
        <v>37680</v>
      </c>
      <c r="K101" s="9"/>
      <c r="L101" s="9"/>
      <c r="M101" s="9"/>
      <c r="N101" s="9">
        <f t="shared" si="7"/>
        <v>6.025907564</v>
      </c>
      <c r="O101" s="10">
        <f t="shared" si="8"/>
        <v>67.40567733</v>
      </c>
      <c r="P101" s="9">
        <v>15.0</v>
      </c>
      <c r="Q101" s="11" t="str">
        <f t="shared" si="9"/>
        <v>cobertura correcta</v>
      </c>
      <c r="R101" s="12"/>
      <c r="S101" s="8"/>
      <c r="T101" s="12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15.75" customHeight="1">
      <c r="A102" s="5" t="s">
        <v>211</v>
      </c>
      <c r="B102" s="6" t="s">
        <v>212</v>
      </c>
      <c r="C102" s="6">
        <f t="shared" si="1"/>
        <v>1560</v>
      </c>
      <c r="D102" s="7">
        <v>0.0</v>
      </c>
      <c r="E102" s="7">
        <v>0.0</v>
      </c>
      <c r="F102" s="8"/>
      <c r="G102" s="6">
        <f t="shared" si="3"/>
        <v>8746</v>
      </c>
      <c r="H102" s="6">
        <f t="shared" si="4"/>
        <v>14013</v>
      </c>
      <c r="I102" s="6">
        <f t="shared" si="5"/>
        <v>20522</v>
      </c>
      <c r="J102" s="6">
        <f t="shared" si="6"/>
        <v>71585</v>
      </c>
      <c r="K102" s="9"/>
      <c r="L102" s="9"/>
      <c r="M102" s="9"/>
      <c r="N102" s="9">
        <f t="shared" si="7"/>
        <v>45.88782051</v>
      </c>
      <c r="O102" s="10">
        <f t="shared" si="8"/>
        <v>5.351017608</v>
      </c>
      <c r="P102" s="9">
        <v>15.0</v>
      </c>
      <c r="Q102" s="11" t="str">
        <f t="shared" si="9"/>
        <v>¡Compra YA!</v>
      </c>
      <c r="R102" s="12"/>
      <c r="S102" s="8"/>
      <c r="T102" s="12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15.75" customHeight="1">
      <c r="A103" s="5" t="s">
        <v>213</v>
      </c>
      <c r="B103" s="6" t="s">
        <v>214</v>
      </c>
      <c r="C103" s="6">
        <f t="shared" si="1"/>
        <v>8028</v>
      </c>
      <c r="D103" s="7">
        <v>0.0</v>
      </c>
      <c r="E103" s="7">
        <v>0.0</v>
      </c>
      <c r="F103" s="8"/>
      <c r="G103" s="6">
        <f t="shared" si="3"/>
        <v>2527</v>
      </c>
      <c r="H103" s="6">
        <f t="shared" si="4"/>
        <v>10922</v>
      </c>
      <c r="I103" s="6">
        <f t="shared" si="5"/>
        <v>26791</v>
      </c>
      <c r="J103" s="6">
        <f t="shared" si="6"/>
        <v>57497</v>
      </c>
      <c r="K103" s="9"/>
      <c r="L103" s="9"/>
      <c r="M103" s="9"/>
      <c r="N103" s="9">
        <f t="shared" si="7"/>
        <v>7.162057798</v>
      </c>
      <c r="O103" s="10">
        <f t="shared" si="8"/>
        <v>95.30668777</v>
      </c>
      <c r="P103" s="9">
        <v>15.0</v>
      </c>
      <c r="Q103" s="11" t="str">
        <f t="shared" si="9"/>
        <v>cobertura correcta</v>
      </c>
      <c r="R103" s="12"/>
      <c r="S103" s="8"/>
      <c r="T103" s="12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15.75" customHeight="1">
      <c r="A104" s="5" t="s">
        <v>215</v>
      </c>
      <c r="B104" s="6" t="s">
        <v>216</v>
      </c>
      <c r="C104" s="6">
        <f t="shared" si="1"/>
        <v>3672</v>
      </c>
      <c r="D104" s="7">
        <v>0.0</v>
      </c>
      <c r="E104" s="7">
        <v>0.0</v>
      </c>
      <c r="F104" s="8"/>
      <c r="G104" s="6">
        <f t="shared" si="3"/>
        <v>7791</v>
      </c>
      <c r="H104" s="6">
        <f t="shared" si="4"/>
        <v>17036</v>
      </c>
      <c r="I104" s="6">
        <f t="shared" si="5"/>
        <v>23792</v>
      </c>
      <c r="J104" s="6">
        <f t="shared" si="6"/>
        <v>91715</v>
      </c>
      <c r="K104" s="9"/>
      <c r="L104" s="9"/>
      <c r="M104" s="9"/>
      <c r="N104" s="9">
        <f t="shared" si="7"/>
        <v>24.97685185</v>
      </c>
      <c r="O104" s="10">
        <f t="shared" si="8"/>
        <v>14.13939161</v>
      </c>
      <c r="P104" s="9">
        <v>15.0</v>
      </c>
      <c r="Q104" s="11" t="str">
        <f t="shared" si="9"/>
        <v>¡Compra YA!</v>
      </c>
      <c r="R104" s="12"/>
      <c r="S104" s="8"/>
      <c r="T104" s="12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15.75" customHeight="1">
      <c r="A105" s="5" t="s">
        <v>217</v>
      </c>
      <c r="B105" s="6" t="s">
        <v>218</v>
      </c>
      <c r="C105" s="6">
        <f t="shared" si="1"/>
        <v>7802</v>
      </c>
      <c r="D105" s="7">
        <v>0.0</v>
      </c>
      <c r="E105" s="7">
        <v>0.0</v>
      </c>
      <c r="F105" s="8"/>
      <c r="G105" s="6">
        <f t="shared" si="3"/>
        <v>1984</v>
      </c>
      <c r="H105" s="6">
        <f t="shared" si="4"/>
        <v>9787</v>
      </c>
      <c r="I105" s="6">
        <f t="shared" si="5"/>
        <v>21151</v>
      </c>
      <c r="J105" s="6">
        <f t="shared" si="6"/>
        <v>65118</v>
      </c>
      <c r="K105" s="9"/>
      <c r="L105" s="9"/>
      <c r="M105" s="9"/>
      <c r="N105" s="9">
        <f t="shared" si="7"/>
        <v>8.346321456</v>
      </c>
      <c r="O105" s="10">
        <f t="shared" si="8"/>
        <v>117.9737903</v>
      </c>
      <c r="P105" s="9">
        <v>7.0</v>
      </c>
      <c r="Q105" s="11" t="str">
        <f t="shared" si="9"/>
        <v>cobertura correcta</v>
      </c>
      <c r="R105" s="12"/>
      <c r="S105" s="8"/>
      <c r="T105" s="12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15.75" customHeight="1">
      <c r="A106" s="5" t="s">
        <v>219</v>
      </c>
      <c r="B106" s="6" t="s">
        <v>220</v>
      </c>
      <c r="C106" s="6">
        <f t="shared" si="1"/>
        <v>7752</v>
      </c>
      <c r="D106" s="6">
        <f t="shared" ref="D106:D112" si="22">RANDBETWEEN(0, 350)</f>
        <v>159</v>
      </c>
      <c r="E106" s="7">
        <v>0.0</v>
      </c>
      <c r="F106" s="8"/>
      <c r="G106" s="6">
        <f t="shared" si="3"/>
        <v>4206</v>
      </c>
      <c r="H106" s="6">
        <f t="shared" si="4"/>
        <v>12575</v>
      </c>
      <c r="I106" s="6">
        <f t="shared" si="5"/>
        <v>19044</v>
      </c>
      <c r="J106" s="6">
        <f t="shared" si="6"/>
        <v>48043</v>
      </c>
      <c r="K106" s="9"/>
      <c r="L106" s="9"/>
      <c r="M106" s="9"/>
      <c r="N106" s="9">
        <f t="shared" si="7"/>
        <v>6.19749742</v>
      </c>
      <c r="O106" s="10">
        <f t="shared" si="8"/>
        <v>55.29243937</v>
      </c>
      <c r="P106" s="9">
        <v>7.0</v>
      </c>
      <c r="Q106" s="11" t="str">
        <f t="shared" si="9"/>
        <v>cobertura correcta</v>
      </c>
      <c r="R106" s="12"/>
      <c r="S106" s="8"/>
      <c r="T106" s="12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15.75" customHeight="1">
      <c r="A107" s="5" t="s">
        <v>221</v>
      </c>
      <c r="B107" s="6" t="s">
        <v>222</v>
      </c>
      <c r="C107" s="6">
        <f t="shared" si="1"/>
        <v>8717</v>
      </c>
      <c r="D107" s="6">
        <f t="shared" si="22"/>
        <v>0</v>
      </c>
      <c r="E107" s="7">
        <v>0.0</v>
      </c>
      <c r="F107" s="8"/>
      <c r="G107" s="6">
        <f t="shared" si="3"/>
        <v>1872</v>
      </c>
      <c r="H107" s="6">
        <f t="shared" si="4"/>
        <v>14683</v>
      </c>
      <c r="I107" s="6">
        <f t="shared" si="5"/>
        <v>21539</v>
      </c>
      <c r="J107" s="6">
        <f t="shared" si="6"/>
        <v>39548</v>
      </c>
      <c r="K107" s="9"/>
      <c r="L107" s="9"/>
      <c r="M107" s="9"/>
      <c r="N107" s="9">
        <f t="shared" si="7"/>
        <v>4.536881955</v>
      </c>
      <c r="O107" s="10">
        <f t="shared" si="8"/>
        <v>139.6955128</v>
      </c>
      <c r="P107" s="9">
        <v>7.0</v>
      </c>
      <c r="Q107" s="11" t="str">
        <f t="shared" si="9"/>
        <v>cobertura correcta</v>
      </c>
      <c r="R107" s="12"/>
      <c r="S107" s="8"/>
      <c r="T107" s="12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15.75" customHeight="1">
      <c r="A108" s="5" t="s">
        <v>223</v>
      </c>
      <c r="B108" s="6" t="s">
        <v>224</v>
      </c>
      <c r="C108" s="6">
        <f t="shared" si="1"/>
        <v>1895</v>
      </c>
      <c r="D108" s="6">
        <f t="shared" si="22"/>
        <v>151</v>
      </c>
      <c r="E108" s="7">
        <v>0.0</v>
      </c>
      <c r="F108" s="8"/>
      <c r="G108" s="6">
        <f t="shared" si="3"/>
        <v>7052</v>
      </c>
      <c r="H108" s="6">
        <f t="shared" si="4"/>
        <v>17306</v>
      </c>
      <c r="I108" s="6">
        <f t="shared" si="5"/>
        <v>21323</v>
      </c>
      <c r="J108" s="6">
        <f t="shared" si="6"/>
        <v>60066</v>
      </c>
      <c r="K108" s="9"/>
      <c r="L108" s="9"/>
      <c r="M108" s="9"/>
      <c r="N108" s="9">
        <f t="shared" si="7"/>
        <v>31.69709763</v>
      </c>
      <c r="O108" s="10">
        <f t="shared" si="8"/>
        <v>8.061542825</v>
      </c>
      <c r="P108" s="9">
        <v>7.0</v>
      </c>
      <c r="Q108" s="11" t="str">
        <f t="shared" si="9"/>
        <v>cobertura correcta</v>
      </c>
      <c r="R108" s="12"/>
      <c r="S108" s="8"/>
      <c r="T108" s="12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15.75" customHeight="1">
      <c r="A109" s="5" t="s">
        <v>225</v>
      </c>
      <c r="B109" s="6" t="s">
        <v>226</v>
      </c>
      <c r="C109" s="6">
        <f t="shared" si="1"/>
        <v>7711</v>
      </c>
      <c r="D109" s="6">
        <f t="shared" si="22"/>
        <v>265</v>
      </c>
      <c r="E109" s="7">
        <v>0.0</v>
      </c>
      <c r="F109" s="8"/>
      <c r="G109" s="6">
        <f t="shared" si="3"/>
        <v>8645</v>
      </c>
      <c r="H109" s="6">
        <f t="shared" si="4"/>
        <v>17242</v>
      </c>
      <c r="I109" s="6">
        <f t="shared" si="5"/>
        <v>26963</v>
      </c>
      <c r="J109" s="6">
        <f t="shared" si="6"/>
        <v>59871</v>
      </c>
      <c r="K109" s="9"/>
      <c r="L109" s="9"/>
      <c r="M109" s="9"/>
      <c r="N109" s="9">
        <f t="shared" si="7"/>
        <v>7.764362599</v>
      </c>
      <c r="O109" s="10">
        <f t="shared" si="8"/>
        <v>26.75882013</v>
      </c>
      <c r="P109" s="9">
        <v>7.0</v>
      </c>
      <c r="Q109" s="11" t="str">
        <f t="shared" si="9"/>
        <v>cobertura correcta</v>
      </c>
      <c r="R109" s="12"/>
      <c r="S109" s="8"/>
      <c r="T109" s="12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15.75" customHeight="1">
      <c r="A110" s="5" t="s">
        <v>227</v>
      </c>
      <c r="B110" s="6" t="s">
        <v>228</v>
      </c>
      <c r="C110" s="6">
        <f t="shared" si="1"/>
        <v>2776</v>
      </c>
      <c r="D110" s="6">
        <f t="shared" si="22"/>
        <v>68</v>
      </c>
      <c r="E110" s="7">
        <v>0.0</v>
      </c>
      <c r="F110" s="8"/>
      <c r="G110" s="6">
        <f t="shared" si="3"/>
        <v>3783</v>
      </c>
      <c r="H110" s="6">
        <f t="shared" si="4"/>
        <v>15314</v>
      </c>
      <c r="I110" s="6">
        <f t="shared" si="5"/>
        <v>19003</v>
      </c>
      <c r="J110" s="6">
        <f t="shared" si="6"/>
        <v>63036</v>
      </c>
      <c r="K110" s="9"/>
      <c r="L110" s="9"/>
      <c r="M110" s="9"/>
      <c r="N110" s="9">
        <f t="shared" si="7"/>
        <v>22.7074928</v>
      </c>
      <c r="O110" s="10">
        <f t="shared" si="8"/>
        <v>22.01427439</v>
      </c>
      <c r="P110" s="9">
        <v>7.0</v>
      </c>
      <c r="Q110" s="11" t="str">
        <f t="shared" si="9"/>
        <v>cobertura correcta</v>
      </c>
      <c r="R110" s="12"/>
      <c r="S110" s="8"/>
      <c r="T110" s="12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15.75" customHeight="1">
      <c r="A111" s="5" t="s">
        <v>229</v>
      </c>
      <c r="B111" s="6"/>
      <c r="C111" s="6">
        <f t="shared" si="1"/>
        <v>6129</v>
      </c>
      <c r="D111" s="6">
        <f t="shared" si="22"/>
        <v>55</v>
      </c>
      <c r="E111" s="7">
        <v>0.0</v>
      </c>
      <c r="F111" s="8"/>
      <c r="G111" s="6">
        <f t="shared" si="3"/>
        <v>3380</v>
      </c>
      <c r="H111" s="6">
        <f t="shared" si="4"/>
        <v>16866</v>
      </c>
      <c r="I111" s="6">
        <f t="shared" si="5"/>
        <v>21962</v>
      </c>
      <c r="J111" s="6">
        <f t="shared" si="6"/>
        <v>78152</v>
      </c>
      <c r="K111" s="9"/>
      <c r="L111" s="9"/>
      <c r="M111" s="9"/>
      <c r="N111" s="9">
        <f t="shared" si="7"/>
        <v>12.7511829</v>
      </c>
      <c r="O111" s="10">
        <f t="shared" si="8"/>
        <v>54.39940828</v>
      </c>
      <c r="P111" s="9">
        <v>7.0</v>
      </c>
      <c r="Q111" s="11" t="str">
        <f t="shared" si="9"/>
        <v>cobertura correcta</v>
      </c>
      <c r="R111" s="12"/>
      <c r="S111" s="8"/>
      <c r="T111" s="12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15.75" customHeight="1">
      <c r="A112" s="5" t="s">
        <v>230</v>
      </c>
      <c r="B112" s="6" t="s">
        <v>231</v>
      </c>
      <c r="C112" s="6">
        <f t="shared" si="1"/>
        <v>2017</v>
      </c>
      <c r="D112" s="6">
        <f t="shared" si="22"/>
        <v>251</v>
      </c>
      <c r="E112" s="7">
        <v>0.0</v>
      </c>
      <c r="F112" s="8"/>
      <c r="G112" s="6">
        <f t="shared" si="3"/>
        <v>1413</v>
      </c>
      <c r="H112" s="6">
        <f t="shared" si="4"/>
        <v>12798</v>
      </c>
      <c r="I112" s="6">
        <f t="shared" si="5"/>
        <v>25658</v>
      </c>
      <c r="J112" s="6">
        <f t="shared" si="6"/>
        <v>53903</v>
      </c>
      <c r="K112" s="9"/>
      <c r="L112" s="9"/>
      <c r="M112" s="9"/>
      <c r="N112" s="9">
        <f t="shared" si="7"/>
        <v>26.72434308</v>
      </c>
      <c r="O112" s="10">
        <f t="shared" si="8"/>
        <v>42.82377919</v>
      </c>
      <c r="P112" s="9">
        <v>10.0</v>
      </c>
      <c r="Q112" s="11" t="str">
        <f t="shared" si="9"/>
        <v>cobertura correcta</v>
      </c>
      <c r="R112" s="12"/>
      <c r="S112" s="8"/>
      <c r="T112" s="12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15.75" customHeight="1">
      <c r="A113" s="5" t="s">
        <v>232</v>
      </c>
      <c r="B113" s="6" t="s">
        <v>233</v>
      </c>
      <c r="C113" s="6">
        <f t="shared" si="1"/>
        <v>8785</v>
      </c>
      <c r="D113" s="7">
        <v>0.0</v>
      </c>
      <c r="E113" s="6">
        <f t="shared" ref="E113:E115" si="23">RANDBETWEEN(0, 1000)</f>
        <v>994</v>
      </c>
      <c r="F113" s="8"/>
      <c r="G113" s="6">
        <f t="shared" si="3"/>
        <v>5880</v>
      </c>
      <c r="H113" s="6">
        <f t="shared" si="4"/>
        <v>12782</v>
      </c>
      <c r="I113" s="6">
        <f t="shared" si="5"/>
        <v>26765</v>
      </c>
      <c r="J113" s="6">
        <f t="shared" si="6"/>
        <v>52072</v>
      </c>
      <c r="K113" s="9"/>
      <c r="L113" s="9"/>
      <c r="M113" s="9"/>
      <c r="N113" s="9">
        <f t="shared" si="7"/>
        <v>5.927376209</v>
      </c>
      <c r="O113" s="10">
        <f t="shared" si="8"/>
        <v>44.82142857</v>
      </c>
      <c r="P113" s="9">
        <v>10.0</v>
      </c>
      <c r="Q113" s="11" t="str">
        <f t="shared" si="9"/>
        <v>cobertura correcta</v>
      </c>
      <c r="R113" s="12"/>
      <c r="S113" s="8"/>
      <c r="T113" s="12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15.75" customHeight="1">
      <c r="A114" s="5" t="s">
        <v>234</v>
      </c>
      <c r="B114" s="6" t="s">
        <v>235</v>
      </c>
      <c r="C114" s="6">
        <f t="shared" si="1"/>
        <v>2494</v>
      </c>
      <c r="D114" s="6">
        <f t="shared" ref="D114:D115" si="24">RANDBETWEEN(0, 350)</f>
        <v>8</v>
      </c>
      <c r="E114" s="6">
        <f t="shared" si="23"/>
        <v>279</v>
      </c>
      <c r="F114" s="8"/>
      <c r="G114" s="6">
        <f t="shared" si="3"/>
        <v>3195</v>
      </c>
      <c r="H114" s="6">
        <f t="shared" si="4"/>
        <v>10933</v>
      </c>
      <c r="I114" s="6">
        <f t="shared" si="5"/>
        <v>22350</v>
      </c>
      <c r="J114" s="6">
        <f t="shared" si="6"/>
        <v>70681</v>
      </c>
      <c r="K114" s="9"/>
      <c r="L114" s="9"/>
      <c r="M114" s="9"/>
      <c r="N114" s="9">
        <f t="shared" si="7"/>
        <v>28.340417</v>
      </c>
      <c r="O114" s="10">
        <f t="shared" si="8"/>
        <v>23.41784038</v>
      </c>
      <c r="P114" s="9">
        <v>10.0</v>
      </c>
      <c r="Q114" s="11" t="str">
        <f t="shared" si="9"/>
        <v>cobertura correcta</v>
      </c>
      <c r="R114" s="12"/>
      <c r="S114" s="8"/>
      <c r="T114" s="12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15.75" customHeight="1">
      <c r="A115" s="5" t="s">
        <v>236</v>
      </c>
      <c r="B115" s="6" t="s">
        <v>237</v>
      </c>
      <c r="C115" s="6">
        <f t="shared" si="1"/>
        <v>3957</v>
      </c>
      <c r="D115" s="6">
        <f t="shared" si="24"/>
        <v>178</v>
      </c>
      <c r="E115" s="6">
        <f t="shared" si="23"/>
        <v>755</v>
      </c>
      <c r="F115" s="8"/>
      <c r="G115" s="6">
        <f t="shared" si="3"/>
        <v>1032</v>
      </c>
      <c r="H115" s="6">
        <f t="shared" si="4"/>
        <v>10930</v>
      </c>
      <c r="I115" s="6">
        <f t="shared" si="5"/>
        <v>23549</v>
      </c>
      <c r="J115" s="6">
        <f t="shared" si="6"/>
        <v>37705</v>
      </c>
      <c r="K115" s="9"/>
      <c r="L115" s="9"/>
      <c r="M115" s="9"/>
      <c r="N115" s="9">
        <f t="shared" si="7"/>
        <v>9.528683346</v>
      </c>
      <c r="O115" s="10">
        <f t="shared" si="8"/>
        <v>115.0290698</v>
      </c>
      <c r="P115" s="9">
        <v>10.0</v>
      </c>
      <c r="Q115" s="11" t="str">
        <f t="shared" si="9"/>
        <v>cobertura correcta</v>
      </c>
      <c r="R115" s="12"/>
      <c r="S115" s="8"/>
      <c r="T115" s="12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15.75" customHeight="1">
      <c r="A116" s="5" t="s">
        <v>238</v>
      </c>
      <c r="B116" s="6" t="s">
        <v>239</v>
      </c>
      <c r="C116" s="6">
        <f t="shared" si="1"/>
        <v>7929</v>
      </c>
      <c r="D116" s="7">
        <v>0.0</v>
      </c>
      <c r="E116" s="7">
        <v>0.0</v>
      </c>
      <c r="F116" s="8"/>
      <c r="G116" s="6">
        <f t="shared" si="3"/>
        <v>7170</v>
      </c>
      <c r="H116" s="6">
        <f t="shared" si="4"/>
        <v>9934</v>
      </c>
      <c r="I116" s="6">
        <f t="shared" si="5"/>
        <v>21808</v>
      </c>
      <c r="J116" s="6">
        <f t="shared" si="6"/>
        <v>65594</v>
      </c>
      <c r="K116" s="9"/>
      <c r="L116" s="9"/>
      <c r="M116" s="9"/>
      <c r="N116" s="9">
        <f t="shared" si="7"/>
        <v>8.272669946</v>
      </c>
      <c r="O116" s="10">
        <f t="shared" si="8"/>
        <v>33.17573222</v>
      </c>
      <c r="P116" s="9">
        <v>10.0</v>
      </c>
      <c r="Q116" s="11" t="str">
        <f t="shared" si="9"/>
        <v>cobertura correcta</v>
      </c>
      <c r="R116" s="12"/>
      <c r="S116" s="8"/>
      <c r="T116" s="12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15.75" customHeight="1">
      <c r="A117" s="5" t="s">
        <v>240</v>
      </c>
      <c r="B117" s="6"/>
      <c r="C117" s="6">
        <f t="shared" si="1"/>
        <v>4889</v>
      </c>
      <c r="D117" s="6">
        <f>RANDBETWEEN(0, 350)</f>
        <v>88</v>
      </c>
      <c r="E117" s="7">
        <v>0.0</v>
      </c>
      <c r="F117" s="8"/>
      <c r="G117" s="6">
        <f t="shared" si="3"/>
        <v>5539</v>
      </c>
      <c r="H117" s="6">
        <f t="shared" si="4"/>
        <v>11001</v>
      </c>
      <c r="I117" s="6">
        <f t="shared" si="5"/>
        <v>21658</v>
      </c>
      <c r="J117" s="6">
        <f t="shared" si="6"/>
        <v>87864</v>
      </c>
      <c r="K117" s="9"/>
      <c r="L117" s="9"/>
      <c r="M117" s="9"/>
      <c r="N117" s="9">
        <f t="shared" si="7"/>
        <v>17.97177337</v>
      </c>
      <c r="O117" s="10">
        <f t="shared" si="8"/>
        <v>26.47950894</v>
      </c>
      <c r="P117" s="9">
        <v>10.0</v>
      </c>
      <c r="Q117" s="11" t="str">
        <f t="shared" si="9"/>
        <v>cobertura correcta</v>
      </c>
      <c r="R117" s="12"/>
      <c r="S117" s="8"/>
      <c r="T117" s="12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15.75" customHeight="1">
      <c r="A118" s="5" t="s">
        <v>241</v>
      </c>
      <c r="B118" s="6" t="s">
        <v>242</v>
      </c>
      <c r="C118" s="6">
        <f t="shared" si="1"/>
        <v>1386</v>
      </c>
      <c r="D118" s="7">
        <v>0.0</v>
      </c>
      <c r="E118" s="7">
        <v>0.0</v>
      </c>
      <c r="F118" s="8"/>
      <c r="G118" s="6">
        <f t="shared" si="3"/>
        <v>2694</v>
      </c>
      <c r="H118" s="6">
        <f t="shared" si="4"/>
        <v>11602</v>
      </c>
      <c r="I118" s="6">
        <f t="shared" si="5"/>
        <v>22963</v>
      </c>
      <c r="J118" s="6">
        <f t="shared" si="6"/>
        <v>63906</v>
      </c>
      <c r="K118" s="9"/>
      <c r="L118" s="9"/>
      <c r="M118" s="9"/>
      <c r="N118" s="9">
        <f t="shared" si="7"/>
        <v>46.10822511</v>
      </c>
      <c r="O118" s="10">
        <f t="shared" si="8"/>
        <v>15.43429844</v>
      </c>
      <c r="P118" s="9">
        <v>10.0</v>
      </c>
      <c r="Q118" s="11" t="str">
        <f t="shared" si="9"/>
        <v>cobertura correcta</v>
      </c>
      <c r="R118" s="12"/>
      <c r="S118" s="8"/>
      <c r="T118" s="12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15.75" customHeight="1">
      <c r="A119" s="5" t="s">
        <v>243</v>
      </c>
      <c r="B119" s="6" t="s">
        <v>244</v>
      </c>
      <c r="C119" s="6">
        <f t="shared" si="1"/>
        <v>2532</v>
      </c>
      <c r="D119" s="6">
        <f t="shared" ref="D119:D121" si="25">RANDBETWEEN(0, 350)</f>
        <v>86</v>
      </c>
      <c r="E119" s="7">
        <v>0.0</v>
      </c>
      <c r="F119" s="8"/>
      <c r="G119" s="6">
        <f t="shared" si="3"/>
        <v>1828</v>
      </c>
      <c r="H119" s="6">
        <f t="shared" si="4"/>
        <v>10763</v>
      </c>
      <c r="I119" s="6">
        <f t="shared" si="5"/>
        <v>19814</v>
      </c>
      <c r="J119" s="6">
        <f t="shared" si="6"/>
        <v>62974</v>
      </c>
      <c r="K119" s="9"/>
      <c r="L119" s="9"/>
      <c r="M119" s="9"/>
      <c r="N119" s="9">
        <f t="shared" si="7"/>
        <v>24.87124803</v>
      </c>
      <c r="O119" s="10">
        <f t="shared" si="8"/>
        <v>41.5536105</v>
      </c>
      <c r="P119" s="9">
        <v>10.0</v>
      </c>
      <c r="Q119" s="11" t="str">
        <f t="shared" si="9"/>
        <v>cobertura correcta</v>
      </c>
      <c r="R119" s="12"/>
      <c r="S119" s="8"/>
      <c r="T119" s="12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15.75" customHeight="1">
      <c r="A120" s="5" t="s">
        <v>245</v>
      </c>
      <c r="B120" s="6" t="s">
        <v>246</v>
      </c>
      <c r="C120" s="6">
        <f t="shared" si="1"/>
        <v>6022</v>
      </c>
      <c r="D120" s="6">
        <f t="shared" si="25"/>
        <v>281</v>
      </c>
      <c r="E120" s="7">
        <v>0.0</v>
      </c>
      <c r="F120" s="8"/>
      <c r="G120" s="6">
        <f t="shared" si="3"/>
        <v>3433</v>
      </c>
      <c r="H120" s="6">
        <f t="shared" si="4"/>
        <v>17877</v>
      </c>
      <c r="I120" s="6">
        <f t="shared" si="5"/>
        <v>21866</v>
      </c>
      <c r="J120" s="6">
        <f t="shared" si="6"/>
        <v>64608</v>
      </c>
      <c r="K120" s="9"/>
      <c r="L120" s="9"/>
      <c r="M120" s="9"/>
      <c r="N120" s="9">
        <f t="shared" si="7"/>
        <v>10.72866157</v>
      </c>
      <c r="O120" s="10">
        <f t="shared" si="8"/>
        <v>52.62452665</v>
      </c>
      <c r="P120" s="9">
        <v>10.0</v>
      </c>
      <c r="Q120" s="11" t="str">
        <f t="shared" si="9"/>
        <v>cobertura correcta</v>
      </c>
      <c r="R120" s="12"/>
      <c r="S120" s="8"/>
      <c r="T120" s="12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15.75" customHeight="1">
      <c r="A121" s="5" t="s">
        <v>247</v>
      </c>
      <c r="B121" s="6" t="s">
        <v>248</v>
      </c>
      <c r="C121" s="6">
        <f t="shared" si="1"/>
        <v>1755</v>
      </c>
      <c r="D121" s="6">
        <f t="shared" si="25"/>
        <v>18</v>
      </c>
      <c r="E121" s="7">
        <v>0.0</v>
      </c>
      <c r="F121" s="8"/>
      <c r="G121" s="6">
        <f t="shared" si="3"/>
        <v>7708</v>
      </c>
      <c r="H121" s="6">
        <f t="shared" si="4"/>
        <v>18293</v>
      </c>
      <c r="I121" s="6">
        <f t="shared" si="5"/>
        <v>22827</v>
      </c>
      <c r="J121" s="6">
        <f t="shared" si="6"/>
        <v>77233</v>
      </c>
      <c r="K121" s="9"/>
      <c r="L121" s="9"/>
      <c r="M121" s="9"/>
      <c r="N121" s="9">
        <f t="shared" si="7"/>
        <v>44.00740741</v>
      </c>
      <c r="O121" s="10">
        <f t="shared" si="8"/>
        <v>6.830565646</v>
      </c>
      <c r="P121" s="9">
        <v>10.0</v>
      </c>
      <c r="Q121" s="11" t="str">
        <f t="shared" si="9"/>
        <v>¡Compra YA!</v>
      </c>
      <c r="R121" s="12"/>
      <c r="S121" s="8"/>
      <c r="T121" s="12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15.75" customHeight="1">
      <c r="A122" s="5" t="s">
        <v>249</v>
      </c>
      <c r="B122" s="6" t="s">
        <v>250</v>
      </c>
      <c r="C122" s="6">
        <f t="shared" si="1"/>
        <v>4259</v>
      </c>
      <c r="D122" s="7">
        <v>0.0</v>
      </c>
      <c r="E122" s="7">
        <v>0.0</v>
      </c>
      <c r="F122" s="8"/>
      <c r="G122" s="6">
        <f t="shared" si="3"/>
        <v>6537</v>
      </c>
      <c r="H122" s="6">
        <f t="shared" si="4"/>
        <v>16680</v>
      </c>
      <c r="I122" s="6">
        <f t="shared" si="5"/>
        <v>25922</v>
      </c>
      <c r="J122" s="6">
        <f t="shared" si="6"/>
        <v>56557</v>
      </c>
      <c r="K122" s="9"/>
      <c r="L122" s="9"/>
      <c r="M122" s="9"/>
      <c r="N122" s="9">
        <f t="shared" si="7"/>
        <v>13.27940831</v>
      </c>
      <c r="O122" s="10">
        <f t="shared" si="8"/>
        <v>19.54566315</v>
      </c>
      <c r="P122" s="9">
        <v>10.0</v>
      </c>
      <c r="Q122" s="11" t="str">
        <f t="shared" si="9"/>
        <v>cobertura correcta</v>
      </c>
      <c r="R122" s="12"/>
      <c r="S122" s="8"/>
      <c r="T122" s="12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15.75" customHeight="1">
      <c r="A123" s="5" t="s">
        <v>251</v>
      </c>
      <c r="B123" s="6"/>
      <c r="C123" s="6">
        <f t="shared" si="1"/>
        <v>6980</v>
      </c>
      <c r="D123" s="6">
        <f t="shared" ref="D123:D284" si="26">RANDBETWEEN(0, 350)</f>
        <v>84</v>
      </c>
      <c r="E123" s="7">
        <v>0.0</v>
      </c>
      <c r="F123" s="8"/>
      <c r="G123" s="6">
        <f t="shared" si="3"/>
        <v>4566</v>
      </c>
      <c r="H123" s="6">
        <f t="shared" si="4"/>
        <v>15539</v>
      </c>
      <c r="I123" s="6">
        <f t="shared" si="5"/>
        <v>27776</v>
      </c>
      <c r="J123" s="6">
        <f t="shared" si="6"/>
        <v>37431</v>
      </c>
      <c r="K123" s="9"/>
      <c r="L123" s="9"/>
      <c r="M123" s="9"/>
      <c r="N123" s="9">
        <f t="shared" si="7"/>
        <v>5.36260745</v>
      </c>
      <c r="O123" s="10">
        <f t="shared" si="8"/>
        <v>45.86070959</v>
      </c>
      <c r="P123" s="9">
        <v>10.0</v>
      </c>
      <c r="Q123" s="11" t="str">
        <f t="shared" si="9"/>
        <v>cobertura correcta</v>
      </c>
      <c r="R123" s="12"/>
      <c r="S123" s="8"/>
      <c r="T123" s="12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15.75" customHeight="1">
      <c r="A124" s="5" t="s">
        <v>252</v>
      </c>
      <c r="B124" s="6" t="s">
        <v>253</v>
      </c>
      <c r="C124" s="6">
        <f t="shared" si="1"/>
        <v>6129</v>
      </c>
      <c r="D124" s="6">
        <f t="shared" si="26"/>
        <v>141</v>
      </c>
      <c r="E124" s="7">
        <v>0.0</v>
      </c>
      <c r="F124" s="8"/>
      <c r="G124" s="6">
        <f t="shared" si="3"/>
        <v>1653</v>
      </c>
      <c r="H124" s="6">
        <f t="shared" si="4"/>
        <v>9483</v>
      </c>
      <c r="I124" s="6">
        <f t="shared" si="5"/>
        <v>20147</v>
      </c>
      <c r="J124" s="6">
        <f t="shared" si="6"/>
        <v>89690</v>
      </c>
      <c r="K124" s="9"/>
      <c r="L124" s="9"/>
      <c r="M124" s="9"/>
      <c r="N124" s="9">
        <f t="shared" si="7"/>
        <v>14.6337086</v>
      </c>
      <c r="O124" s="10">
        <f t="shared" si="8"/>
        <v>111.2341198</v>
      </c>
      <c r="P124" s="9">
        <v>10.0</v>
      </c>
      <c r="Q124" s="11" t="str">
        <f t="shared" si="9"/>
        <v>cobertura correcta</v>
      </c>
      <c r="R124" s="12"/>
      <c r="S124" s="8"/>
      <c r="T124" s="12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15.75" customHeight="1">
      <c r="A125" s="5" t="s">
        <v>254</v>
      </c>
      <c r="B125" s="6" t="s">
        <v>255</v>
      </c>
      <c r="C125" s="6">
        <f t="shared" si="1"/>
        <v>5551</v>
      </c>
      <c r="D125" s="6">
        <f t="shared" si="26"/>
        <v>157</v>
      </c>
      <c r="E125" s="7">
        <v>0.0</v>
      </c>
      <c r="F125" s="8"/>
      <c r="G125" s="6">
        <f t="shared" si="3"/>
        <v>4498</v>
      </c>
      <c r="H125" s="6">
        <f t="shared" si="4"/>
        <v>15953</v>
      </c>
      <c r="I125" s="6">
        <f t="shared" si="5"/>
        <v>19524</v>
      </c>
      <c r="J125" s="6">
        <f t="shared" si="6"/>
        <v>53858</v>
      </c>
      <c r="K125" s="9"/>
      <c r="L125" s="9"/>
      <c r="M125" s="9"/>
      <c r="N125" s="9">
        <f t="shared" si="7"/>
        <v>9.702395965</v>
      </c>
      <c r="O125" s="10">
        <f t="shared" si="8"/>
        <v>37.02312139</v>
      </c>
      <c r="P125" s="9">
        <v>10.0</v>
      </c>
      <c r="Q125" s="11" t="str">
        <f t="shared" si="9"/>
        <v>cobertura correcta</v>
      </c>
      <c r="R125" s="12"/>
      <c r="S125" s="8"/>
      <c r="T125" s="12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15.75" customHeight="1">
      <c r="A126" s="5" t="s">
        <v>256</v>
      </c>
      <c r="B126" s="6" t="s">
        <v>257</v>
      </c>
      <c r="C126" s="6">
        <f t="shared" si="1"/>
        <v>2568</v>
      </c>
      <c r="D126" s="6">
        <f t="shared" si="26"/>
        <v>252</v>
      </c>
      <c r="E126" s="7">
        <v>0.0</v>
      </c>
      <c r="F126" s="8"/>
      <c r="G126" s="6">
        <f t="shared" si="3"/>
        <v>7520</v>
      </c>
      <c r="H126" s="6">
        <f t="shared" si="4"/>
        <v>14159</v>
      </c>
      <c r="I126" s="6">
        <f t="shared" si="5"/>
        <v>21389</v>
      </c>
      <c r="J126" s="6">
        <f t="shared" si="6"/>
        <v>64337</v>
      </c>
      <c r="K126" s="9"/>
      <c r="L126" s="9"/>
      <c r="M126" s="9"/>
      <c r="N126" s="9">
        <f t="shared" si="7"/>
        <v>25.05334891</v>
      </c>
      <c r="O126" s="10">
        <f t="shared" si="8"/>
        <v>10.24468085</v>
      </c>
      <c r="P126" s="9">
        <v>10.0</v>
      </c>
      <c r="Q126" s="11" t="str">
        <f t="shared" si="9"/>
        <v>cobertura correcta</v>
      </c>
      <c r="R126" s="12"/>
      <c r="S126" s="8"/>
      <c r="T126" s="12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15.75" customHeight="1">
      <c r="A127" s="5" t="s">
        <v>258</v>
      </c>
      <c r="B127" s="6" t="s">
        <v>259</v>
      </c>
      <c r="C127" s="6">
        <f t="shared" si="1"/>
        <v>7313</v>
      </c>
      <c r="D127" s="6">
        <f t="shared" si="26"/>
        <v>318</v>
      </c>
      <c r="E127" s="7">
        <v>0.0</v>
      </c>
      <c r="F127" s="8"/>
      <c r="G127" s="6">
        <f t="shared" si="3"/>
        <v>8233</v>
      </c>
      <c r="H127" s="6">
        <f t="shared" si="4"/>
        <v>13886</v>
      </c>
      <c r="I127" s="6">
        <f t="shared" si="5"/>
        <v>25388</v>
      </c>
      <c r="J127" s="6">
        <f t="shared" si="6"/>
        <v>52704</v>
      </c>
      <c r="K127" s="9"/>
      <c r="L127" s="9"/>
      <c r="M127" s="9"/>
      <c r="N127" s="9">
        <f t="shared" si="7"/>
        <v>7.206891836</v>
      </c>
      <c r="O127" s="10">
        <f t="shared" si="8"/>
        <v>26.64763756</v>
      </c>
      <c r="P127" s="9">
        <v>10.0</v>
      </c>
      <c r="Q127" s="11" t="str">
        <f t="shared" si="9"/>
        <v>cobertura correcta</v>
      </c>
      <c r="R127" s="12"/>
      <c r="S127" s="8"/>
      <c r="T127" s="12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15.75" customHeight="1">
      <c r="A128" s="5" t="s">
        <v>260</v>
      </c>
      <c r="B128" s="6" t="s">
        <v>261</v>
      </c>
      <c r="C128" s="6">
        <f t="shared" si="1"/>
        <v>4966</v>
      </c>
      <c r="D128" s="6">
        <f t="shared" si="26"/>
        <v>65</v>
      </c>
      <c r="E128" s="7">
        <v>0.0</v>
      </c>
      <c r="F128" s="8"/>
      <c r="G128" s="6">
        <f t="shared" si="3"/>
        <v>7227</v>
      </c>
      <c r="H128" s="6">
        <f t="shared" si="4"/>
        <v>11628</v>
      </c>
      <c r="I128" s="6">
        <f t="shared" si="5"/>
        <v>22978</v>
      </c>
      <c r="J128" s="6">
        <f t="shared" si="6"/>
        <v>51445</v>
      </c>
      <c r="K128" s="9"/>
      <c r="L128" s="9"/>
      <c r="M128" s="9"/>
      <c r="N128" s="9">
        <f t="shared" si="7"/>
        <v>10.35944422</v>
      </c>
      <c r="O128" s="10">
        <f t="shared" si="8"/>
        <v>20.61436281</v>
      </c>
      <c r="P128" s="9">
        <v>10.0</v>
      </c>
      <c r="Q128" s="11" t="str">
        <f t="shared" si="9"/>
        <v>cobertura correcta</v>
      </c>
      <c r="R128" s="12"/>
      <c r="S128" s="8"/>
      <c r="T128" s="12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15.75" customHeight="1">
      <c r="A129" s="5" t="s">
        <v>262</v>
      </c>
      <c r="B129" s="6" t="s">
        <v>263</v>
      </c>
      <c r="C129" s="6">
        <f t="shared" si="1"/>
        <v>7510</v>
      </c>
      <c r="D129" s="6">
        <f t="shared" si="26"/>
        <v>82</v>
      </c>
      <c r="E129" s="7">
        <v>0.0</v>
      </c>
      <c r="F129" s="8"/>
      <c r="G129" s="6">
        <f t="shared" si="3"/>
        <v>1213</v>
      </c>
      <c r="H129" s="6">
        <f t="shared" si="4"/>
        <v>17828</v>
      </c>
      <c r="I129" s="6">
        <f t="shared" si="5"/>
        <v>22376</v>
      </c>
      <c r="J129" s="6">
        <f t="shared" si="6"/>
        <v>76881</v>
      </c>
      <c r="K129" s="9"/>
      <c r="L129" s="9"/>
      <c r="M129" s="9"/>
      <c r="N129" s="9">
        <f t="shared" si="7"/>
        <v>10.23715047</v>
      </c>
      <c r="O129" s="10">
        <f t="shared" si="8"/>
        <v>185.7378401</v>
      </c>
      <c r="P129" s="9">
        <v>10.0</v>
      </c>
      <c r="Q129" s="11" t="str">
        <f t="shared" si="9"/>
        <v>cobertura correcta</v>
      </c>
      <c r="R129" s="12"/>
      <c r="S129" s="8"/>
      <c r="T129" s="12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15.75" customHeight="1">
      <c r="A130" s="5" t="s">
        <v>264</v>
      </c>
      <c r="B130" s="6" t="s">
        <v>265</v>
      </c>
      <c r="C130" s="6">
        <f t="shared" si="1"/>
        <v>4247</v>
      </c>
      <c r="D130" s="6">
        <f t="shared" si="26"/>
        <v>330</v>
      </c>
      <c r="E130" s="7">
        <v>0.0</v>
      </c>
      <c r="F130" s="8"/>
      <c r="G130" s="6">
        <f t="shared" si="3"/>
        <v>4637</v>
      </c>
      <c r="H130" s="6">
        <f t="shared" si="4"/>
        <v>11431</v>
      </c>
      <c r="I130" s="6">
        <f t="shared" si="5"/>
        <v>24396</v>
      </c>
      <c r="J130" s="6">
        <f t="shared" si="6"/>
        <v>49769</v>
      </c>
      <c r="K130" s="9"/>
      <c r="L130" s="9"/>
      <c r="M130" s="9"/>
      <c r="N130" s="9">
        <f t="shared" si="7"/>
        <v>11.71862491</v>
      </c>
      <c r="O130" s="10">
        <f t="shared" si="8"/>
        <v>27.47681691</v>
      </c>
      <c r="P130" s="9">
        <v>10.0</v>
      </c>
      <c r="Q130" s="11" t="str">
        <f t="shared" si="9"/>
        <v>cobertura correcta</v>
      </c>
      <c r="R130" s="12"/>
      <c r="S130" s="8"/>
      <c r="T130" s="12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15.75" customHeight="1">
      <c r="A131" s="5" t="s">
        <v>266</v>
      </c>
      <c r="B131" s="6" t="s">
        <v>267</v>
      </c>
      <c r="C131" s="6">
        <f t="shared" si="1"/>
        <v>7602</v>
      </c>
      <c r="D131" s="6">
        <f t="shared" si="26"/>
        <v>204</v>
      </c>
      <c r="E131" s="7">
        <v>0.0</v>
      </c>
      <c r="F131" s="8"/>
      <c r="G131" s="6">
        <f t="shared" si="3"/>
        <v>8650</v>
      </c>
      <c r="H131" s="6">
        <f t="shared" si="4"/>
        <v>14030</v>
      </c>
      <c r="I131" s="6">
        <f t="shared" si="5"/>
        <v>19377</v>
      </c>
      <c r="J131" s="6">
        <f t="shared" si="6"/>
        <v>73554</v>
      </c>
      <c r="K131" s="9"/>
      <c r="L131" s="9"/>
      <c r="M131" s="9"/>
      <c r="N131" s="9">
        <f t="shared" si="7"/>
        <v>9.675611681</v>
      </c>
      <c r="O131" s="10">
        <f t="shared" si="8"/>
        <v>26.36531792</v>
      </c>
      <c r="P131" s="9">
        <v>10.0</v>
      </c>
      <c r="Q131" s="11" t="str">
        <f t="shared" si="9"/>
        <v>cobertura correcta</v>
      </c>
      <c r="R131" s="12"/>
      <c r="S131" s="8"/>
      <c r="T131" s="12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15.75" customHeight="1">
      <c r="A132" s="5" t="s">
        <v>268</v>
      </c>
      <c r="B132" s="6" t="s">
        <v>269</v>
      </c>
      <c r="C132" s="6">
        <f t="shared" si="1"/>
        <v>6338</v>
      </c>
      <c r="D132" s="6">
        <f t="shared" si="26"/>
        <v>250</v>
      </c>
      <c r="E132" s="7">
        <v>0.0</v>
      </c>
      <c r="F132" s="8"/>
      <c r="G132" s="6">
        <f t="shared" si="3"/>
        <v>6131</v>
      </c>
      <c r="H132" s="6">
        <f t="shared" si="4"/>
        <v>13303</v>
      </c>
      <c r="I132" s="6">
        <f t="shared" si="5"/>
        <v>28660</v>
      </c>
      <c r="J132" s="6">
        <f t="shared" si="6"/>
        <v>55356</v>
      </c>
      <c r="K132" s="9"/>
      <c r="L132" s="9"/>
      <c r="M132" s="9"/>
      <c r="N132" s="9">
        <f t="shared" si="7"/>
        <v>8.733985484</v>
      </c>
      <c r="O132" s="10">
        <f t="shared" si="8"/>
        <v>31.01288534</v>
      </c>
      <c r="P132" s="9">
        <v>10.0</v>
      </c>
      <c r="Q132" s="11" t="str">
        <f t="shared" si="9"/>
        <v>cobertura correcta</v>
      </c>
      <c r="R132" s="12"/>
      <c r="S132" s="8"/>
      <c r="T132" s="12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15.75" customHeight="1">
      <c r="A133" s="5" t="s">
        <v>270</v>
      </c>
      <c r="B133" s="6" t="s">
        <v>271</v>
      </c>
      <c r="C133" s="6">
        <f t="shared" si="1"/>
        <v>2943</v>
      </c>
      <c r="D133" s="6">
        <f t="shared" si="26"/>
        <v>277</v>
      </c>
      <c r="E133" s="7">
        <v>0.0</v>
      </c>
      <c r="F133" s="8"/>
      <c r="G133" s="6">
        <f t="shared" si="3"/>
        <v>2890</v>
      </c>
      <c r="H133" s="6">
        <f t="shared" si="4"/>
        <v>12058</v>
      </c>
      <c r="I133" s="6">
        <f t="shared" si="5"/>
        <v>28481</v>
      </c>
      <c r="J133" s="6">
        <f t="shared" si="6"/>
        <v>92584</v>
      </c>
      <c r="K133" s="9"/>
      <c r="L133" s="9"/>
      <c r="M133" s="9"/>
      <c r="N133" s="9">
        <f t="shared" si="7"/>
        <v>31.45905539</v>
      </c>
      <c r="O133" s="10">
        <f t="shared" si="8"/>
        <v>30.55017301</v>
      </c>
      <c r="P133" s="9">
        <v>10.0</v>
      </c>
      <c r="Q133" s="11" t="str">
        <f t="shared" si="9"/>
        <v>cobertura correcta</v>
      </c>
      <c r="R133" s="12"/>
      <c r="S133" s="8"/>
      <c r="T133" s="12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15.75" customHeight="1">
      <c r="A134" s="5" t="s">
        <v>272</v>
      </c>
      <c r="B134" s="6" t="s">
        <v>273</v>
      </c>
      <c r="C134" s="6">
        <f t="shared" si="1"/>
        <v>5462</v>
      </c>
      <c r="D134" s="6">
        <f t="shared" si="26"/>
        <v>289</v>
      </c>
      <c r="E134" s="7">
        <v>0.0</v>
      </c>
      <c r="F134" s="8"/>
      <c r="G134" s="6">
        <f t="shared" si="3"/>
        <v>7914</v>
      </c>
      <c r="H134" s="6">
        <f t="shared" si="4"/>
        <v>14168</v>
      </c>
      <c r="I134" s="6">
        <f t="shared" si="5"/>
        <v>21962</v>
      </c>
      <c r="J134" s="6">
        <f t="shared" si="6"/>
        <v>49392</v>
      </c>
      <c r="K134" s="9"/>
      <c r="L134" s="9"/>
      <c r="M134" s="9"/>
      <c r="N134" s="9">
        <f t="shared" si="7"/>
        <v>9.04284145</v>
      </c>
      <c r="O134" s="10">
        <f t="shared" si="8"/>
        <v>20.70507961</v>
      </c>
      <c r="P134" s="9">
        <v>10.0</v>
      </c>
      <c r="Q134" s="11" t="str">
        <f t="shared" si="9"/>
        <v>cobertura correcta</v>
      </c>
      <c r="R134" s="12"/>
      <c r="S134" s="8"/>
      <c r="T134" s="12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15.75" customHeight="1">
      <c r="A135" s="5" t="s">
        <v>274</v>
      </c>
      <c r="B135" s="6" t="s">
        <v>275</v>
      </c>
      <c r="C135" s="6">
        <f t="shared" si="1"/>
        <v>4991</v>
      </c>
      <c r="D135" s="6">
        <f t="shared" si="26"/>
        <v>20</v>
      </c>
      <c r="E135" s="6">
        <f t="shared" ref="E135:E136" si="27">RANDBETWEEN(0, 1000)</f>
        <v>35</v>
      </c>
      <c r="F135" s="8"/>
      <c r="G135" s="6">
        <f t="shared" si="3"/>
        <v>1522</v>
      </c>
      <c r="H135" s="6">
        <f t="shared" si="4"/>
        <v>11424</v>
      </c>
      <c r="I135" s="6">
        <f t="shared" si="5"/>
        <v>20276</v>
      </c>
      <c r="J135" s="6">
        <f t="shared" si="6"/>
        <v>62675</v>
      </c>
      <c r="K135" s="9"/>
      <c r="L135" s="9"/>
      <c r="M135" s="9"/>
      <c r="N135" s="9">
        <f t="shared" si="7"/>
        <v>12.55760369</v>
      </c>
      <c r="O135" s="10">
        <f t="shared" si="8"/>
        <v>98.37713535</v>
      </c>
      <c r="P135" s="9">
        <v>10.0</v>
      </c>
      <c r="Q135" s="11" t="str">
        <f t="shared" si="9"/>
        <v>cobertura correcta</v>
      </c>
      <c r="R135" s="12"/>
      <c r="S135" s="8"/>
      <c r="T135" s="12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15.75" customHeight="1">
      <c r="A136" s="5" t="s">
        <v>276</v>
      </c>
      <c r="B136" s="6" t="s">
        <v>277</v>
      </c>
      <c r="C136" s="6">
        <f t="shared" si="1"/>
        <v>2506</v>
      </c>
      <c r="D136" s="6">
        <f t="shared" si="26"/>
        <v>168</v>
      </c>
      <c r="E136" s="6">
        <f t="shared" si="27"/>
        <v>235</v>
      </c>
      <c r="F136" s="8"/>
      <c r="G136" s="6">
        <f t="shared" si="3"/>
        <v>5071</v>
      </c>
      <c r="H136" s="6">
        <f t="shared" si="4"/>
        <v>10486</v>
      </c>
      <c r="I136" s="6">
        <f t="shared" si="5"/>
        <v>22819</v>
      </c>
      <c r="J136" s="6">
        <f t="shared" si="6"/>
        <v>38704</v>
      </c>
      <c r="K136" s="9"/>
      <c r="L136" s="9"/>
      <c r="M136" s="9"/>
      <c r="N136" s="9">
        <f t="shared" si="7"/>
        <v>15.44453312</v>
      </c>
      <c r="O136" s="10">
        <f t="shared" si="8"/>
        <v>14.82547821</v>
      </c>
      <c r="P136" s="9">
        <v>10.0</v>
      </c>
      <c r="Q136" s="11" t="str">
        <f t="shared" si="9"/>
        <v>cobertura correcta</v>
      </c>
      <c r="R136" s="12"/>
      <c r="S136" s="8"/>
      <c r="T136" s="12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15.75" customHeight="1">
      <c r="A137" s="5" t="s">
        <v>278</v>
      </c>
      <c r="B137" s="6" t="s">
        <v>279</v>
      </c>
      <c r="C137" s="6">
        <f t="shared" si="1"/>
        <v>2137</v>
      </c>
      <c r="D137" s="6">
        <f t="shared" si="26"/>
        <v>289</v>
      </c>
      <c r="E137" s="7">
        <v>0.0</v>
      </c>
      <c r="F137" s="8"/>
      <c r="G137" s="6">
        <f t="shared" si="3"/>
        <v>4374</v>
      </c>
      <c r="H137" s="6">
        <f t="shared" si="4"/>
        <v>15764</v>
      </c>
      <c r="I137" s="6">
        <f t="shared" si="5"/>
        <v>23905</v>
      </c>
      <c r="J137" s="6">
        <f t="shared" si="6"/>
        <v>52974</v>
      </c>
      <c r="K137" s="9"/>
      <c r="L137" s="9"/>
      <c r="M137" s="9"/>
      <c r="N137" s="9">
        <f t="shared" si="7"/>
        <v>24.78895648</v>
      </c>
      <c r="O137" s="10">
        <f t="shared" si="8"/>
        <v>14.65706447</v>
      </c>
      <c r="P137" s="9">
        <v>10.0</v>
      </c>
      <c r="Q137" s="11" t="str">
        <f t="shared" si="9"/>
        <v>cobertura correcta</v>
      </c>
      <c r="R137" s="12"/>
      <c r="S137" s="8"/>
      <c r="T137" s="12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15.75" customHeight="1">
      <c r="A138" s="5" t="s">
        <v>280</v>
      </c>
      <c r="B138" s="6" t="s">
        <v>281</v>
      </c>
      <c r="C138" s="6">
        <f t="shared" si="1"/>
        <v>3509</v>
      </c>
      <c r="D138" s="6">
        <f t="shared" si="26"/>
        <v>307</v>
      </c>
      <c r="E138" s="7">
        <v>0.0</v>
      </c>
      <c r="F138" s="8"/>
      <c r="G138" s="6">
        <f t="shared" si="3"/>
        <v>7693</v>
      </c>
      <c r="H138" s="6">
        <f t="shared" si="4"/>
        <v>18458</v>
      </c>
      <c r="I138" s="6">
        <f t="shared" si="5"/>
        <v>20687</v>
      </c>
      <c r="J138" s="6">
        <f t="shared" si="6"/>
        <v>72804</v>
      </c>
      <c r="K138" s="9"/>
      <c r="L138" s="9"/>
      <c r="M138" s="9"/>
      <c r="N138" s="9">
        <f t="shared" si="7"/>
        <v>20.74779139</v>
      </c>
      <c r="O138" s="10">
        <f t="shared" si="8"/>
        <v>13.68386845</v>
      </c>
      <c r="P138" s="9">
        <v>10.0</v>
      </c>
      <c r="Q138" s="11" t="str">
        <f t="shared" si="9"/>
        <v>cobertura correcta</v>
      </c>
      <c r="R138" s="12"/>
      <c r="S138" s="8"/>
      <c r="T138" s="12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15.75" customHeight="1">
      <c r="A139" s="5" t="s">
        <v>282</v>
      </c>
      <c r="B139" s="6" t="s">
        <v>283</v>
      </c>
      <c r="C139" s="6">
        <f t="shared" si="1"/>
        <v>4155</v>
      </c>
      <c r="D139" s="6">
        <f t="shared" si="26"/>
        <v>77</v>
      </c>
      <c r="E139" s="7">
        <v>0.0</v>
      </c>
      <c r="F139" s="8"/>
      <c r="G139" s="6">
        <f t="shared" si="3"/>
        <v>4887</v>
      </c>
      <c r="H139" s="6">
        <f t="shared" si="4"/>
        <v>11742</v>
      </c>
      <c r="I139" s="6">
        <f t="shared" si="5"/>
        <v>23815</v>
      </c>
      <c r="J139" s="6">
        <f t="shared" si="6"/>
        <v>55254</v>
      </c>
      <c r="K139" s="9"/>
      <c r="L139" s="9"/>
      <c r="M139" s="9"/>
      <c r="N139" s="9">
        <f t="shared" si="7"/>
        <v>13.29819495</v>
      </c>
      <c r="O139" s="10">
        <f t="shared" si="8"/>
        <v>25.50644567</v>
      </c>
      <c r="P139" s="9">
        <v>10.0</v>
      </c>
      <c r="Q139" s="11" t="str">
        <f t="shared" si="9"/>
        <v>cobertura correcta</v>
      </c>
      <c r="R139" s="12"/>
      <c r="S139" s="8"/>
      <c r="T139" s="12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15.75" customHeight="1">
      <c r="A140" s="5" t="s">
        <v>284</v>
      </c>
      <c r="B140" s="6" t="s">
        <v>285</v>
      </c>
      <c r="C140" s="6">
        <f t="shared" si="1"/>
        <v>2566</v>
      </c>
      <c r="D140" s="6">
        <f t="shared" si="26"/>
        <v>101</v>
      </c>
      <c r="E140" s="7">
        <v>0.0</v>
      </c>
      <c r="F140" s="8"/>
      <c r="G140" s="6">
        <f t="shared" si="3"/>
        <v>2510</v>
      </c>
      <c r="H140" s="6">
        <f t="shared" si="4"/>
        <v>11316</v>
      </c>
      <c r="I140" s="6">
        <f t="shared" si="5"/>
        <v>20579</v>
      </c>
      <c r="J140" s="6">
        <f t="shared" si="6"/>
        <v>41800</v>
      </c>
      <c r="K140" s="9"/>
      <c r="L140" s="9"/>
      <c r="M140" s="9"/>
      <c r="N140" s="9">
        <f t="shared" si="7"/>
        <v>16.28994544</v>
      </c>
      <c r="O140" s="10">
        <f t="shared" si="8"/>
        <v>30.66932271</v>
      </c>
      <c r="P140" s="9">
        <v>10.0</v>
      </c>
      <c r="Q140" s="11" t="str">
        <f t="shared" si="9"/>
        <v>cobertura correcta</v>
      </c>
      <c r="R140" s="12"/>
      <c r="S140" s="8"/>
      <c r="T140" s="12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5.75" customHeight="1">
      <c r="A141" s="5" t="s">
        <v>286</v>
      </c>
      <c r="B141" s="6" t="s">
        <v>287</v>
      </c>
      <c r="C141" s="6">
        <f t="shared" si="1"/>
        <v>3155</v>
      </c>
      <c r="D141" s="6">
        <f t="shared" si="26"/>
        <v>343</v>
      </c>
      <c r="E141" s="7">
        <v>0.0</v>
      </c>
      <c r="F141" s="8"/>
      <c r="G141" s="6">
        <f t="shared" si="3"/>
        <v>3512</v>
      </c>
      <c r="H141" s="6">
        <f t="shared" si="4"/>
        <v>17457</v>
      </c>
      <c r="I141" s="6">
        <f t="shared" si="5"/>
        <v>27364</v>
      </c>
      <c r="J141" s="6">
        <f t="shared" si="6"/>
        <v>88219</v>
      </c>
      <c r="K141" s="9"/>
      <c r="L141" s="9"/>
      <c r="M141" s="9"/>
      <c r="N141" s="9">
        <f t="shared" si="7"/>
        <v>27.96164818</v>
      </c>
      <c r="O141" s="10">
        <f t="shared" si="8"/>
        <v>26.95045558</v>
      </c>
      <c r="P141" s="9">
        <v>10.0</v>
      </c>
      <c r="Q141" s="11" t="str">
        <f t="shared" si="9"/>
        <v>cobertura correcta</v>
      </c>
      <c r="R141" s="12"/>
      <c r="S141" s="8"/>
      <c r="T141" s="12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5.75" customHeight="1">
      <c r="A142" s="5" t="s">
        <v>288</v>
      </c>
      <c r="B142" s="6" t="s">
        <v>289</v>
      </c>
      <c r="C142" s="6">
        <f t="shared" si="1"/>
        <v>8106</v>
      </c>
      <c r="D142" s="6">
        <f t="shared" si="26"/>
        <v>106</v>
      </c>
      <c r="E142" s="7">
        <v>0.0</v>
      </c>
      <c r="F142" s="8"/>
      <c r="G142" s="6">
        <f t="shared" si="3"/>
        <v>2117</v>
      </c>
      <c r="H142" s="6">
        <f t="shared" si="4"/>
        <v>16683</v>
      </c>
      <c r="I142" s="6">
        <f t="shared" si="5"/>
        <v>21163</v>
      </c>
      <c r="J142" s="6">
        <f t="shared" si="6"/>
        <v>93076</v>
      </c>
      <c r="K142" s="9"/>
      <c r="L142" s="9"/>
      <c r="M142" s="9"/>
      <c r="N142" s="9">
        <f t="shared" si="7"/>
        <v>11.48235875</v>
      </c>
      <c r="O142" s="10">
        <f t="shared" si="8"/>
        <v>114.8700992</v>
      </c>
      <c r="P142" s="9">
        <v>10.0</v>
      </c>
      <c r="Q142" s="11" t="str">
        <f t="shared" si="9"/>
        <v>cobertura correcta</v>
      </c>
      <c r="R142" s="12"/>
      <c r="S142" s="8"/>
      <c r="T142" s="12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5.75" customHeight="1">
      <c r="A143" s="5" t="s">
        <v>290</v>
      </c>
      <c r="B143" s="6" t="s">
        <v>291</v>
      </c>
      <c r="C143" s="6">
        <f t="shared" si="1"/>
        <v>2915</v>
      </c>
      <c r="D143" s="6">
        <f t="shared" si="26"/>
        <v>38</v>
      </c>
      <c r="E143" s="7">
        <v>0.0</v>
      </c>
      <c r="F143" s="8"/>
      <c r="G143" s="6">
        <f t="shared" si="3"/>
        <v>3937</v>
      </c>
      <c r="H143" s="6">
        <f t="shared" si="4"/>
        <v>15052</v>
      </c>
      <c r="I143" s="6">
        <f t="shared" si="5"/>
        <v>24328</v>
      </c>
      <c r="J143" s="6">
        <f t="shared" si="6"/>
        <v>44977</v>
      </c>
      <c r="K143" s="9"/>
      <c r="L143" s="9"/>
      <c r="M143" s="9"/>
      <c r="N143" s="9">
        <f t="shared" si="7"/>
        <v>15.42950257</v>
      </c>
      <c r="O143" s="10">
        <f t="shared" si="8"/>
        <v>22.21234442</v>
      </c>
      <c r="P143" s="9">
        <v>10.0</v>
      </c>
      <c r="Q143" s="11" t="str">
        <f t="shared" si="9"/>
        <v>cobertura correcta</v>
      </c>
      <c r="R143" s="12"/>
      <c r="S143" s="8"/>
      <c r="T143" s="12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5.75" customHeight="1">
      <c r="A144" s="5" t="s">
        <v>292</v>
      </c>
      <c r="B144" s="6" t="s">
        <v>293</v>
      </c>
      <c r="C144" s="6">
        <f t="shared" si="1"/>
        <v>2305</v>
      </c>
      <c r="D144" s="6">
        <f t="shared" si="26"/>
        <v>260</v>
      </c>
      <c r="E144" s="7">
        <v>0.0</v>
      </c>
      <c r="F144" s="8"/>
      <c r="G144" s="6">
        <f t="shared" si="3"/>
        <v>2021</v>
      </c>
      <c r="H144" s="6">
        <f t="shared" si="4"/>
        <v>13747</v>
      </c>
      <c r="I144" s="6">
        <f t="shared" si="5"/>
        <v>19746</v>
      </c>
      <c r="J144" s="6">
        <f t="shared" si="6"/>
        <v>54245</v>
      </c>
      <c r="K144" s="9"/>
      <c r="L144" s="9"/>
      <c r="M144" s="9"/>
      <c r="N144" s="9">
        <f t="shared" si="7"/>
        <v>23.53362256</v>
      </c>
      <c r="O144" s="10">
        <f t="shared" si="8"/>
        <v>34.21573478</v>
      </c>
      <c r="P144" s="9">
        <v>10.0</v>
      </c>
      <c r="Q144" s="11" t="str">
        <f t="shared" si="9"/>
        <v>cobertura correcta</v>
      </c>
      <c r="R144" s="12"/>
      <c r="S144" s="8"/>
      <c r="T144" s="12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5.75" customHeight="1">
      <c r="A145" s="5" t="s">
        <v>294</v>
      </c>
      <c r="B145" s="6" t="s">
        <v>295</v>
      </c>
      <c r="C145" s="6">
        <f t="shared" si="1"/>
        <v>2257</v>
      </c>
      <c r="D145" s="6">
        <f t="shared" si="26"/>
        <v>121</v>
      </c>
      <c r="E145" s="7">
        <v>0.0</v>
      </c>
      <c r="F145" s="8"/>
      <c r="G145" s="6">
        <f t="shared" si="3"/>
        <v>1708</v>
      </c>
      <c r="H145" s="6">
        <f t="shared" si="4"/>
        <v>14435</v>
      </c>
      <c r="I145" s="6">
        <f t="shared" si="5"/>
        <v>26072</v>
      </c>
      <c r="J145" s="6">
        <f t="shared" si="6"/>
        <v>40775</v>
      </c>
      <c r="K145" s="9"/>
      <c r="L145" s="9"/>
      <c r="M145" s="9"/>
      <c r="N145" s="9">
        <f t="shared" si="7"/>
        <v>18.06601684</v>
      </c>
      <c r="O145" s="10">
        <f t="shared" si="8"/>
        <v>39.64285714</v>
      </c>
      <c r="P145" s="9">
        <v>10.0</v>
      </c>
      <c r="Q145" s="11" t="str">
        <f t="shared" si="9"/>
        <v>cobertura correcta</v>
      </c>
      <c r="R145" s="12"/>
      <c r="S145" s="8"/>
      <c r="T145" s="12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15.75" customHeight="1">
      <c r="A146" s="5" t="s">
        <v>296</v>
      </c>
      <c r="B146" s="6" t="s">
        <v>297</v>
      </c>
      <c r="C146" s="6">
        <f t="shared" si="1"/>
        <v>1622</v>
      </c>
      <c r="D146" s="6">
        <f t="shared" si="26"/>
        <v>267</v>
      </c>
      <c r="E146" s="7">
        <v>0.0</v>
      </c>
      <c r="F146" s="8"/>
      <c r="G146" s="6">
        <f t="shared" si="3"/>
        <v>2298</v>
      </c>
      <c r="H146" s="6">
        <f t="shared" si="4"/>
        <v>12029</v>
      </c>
      <c r="I146" s="6">
        <f t="shared" si="5"/>
        <v>20415</v>
      </c>
      <c r="J146" s="6">
        <f t="shared" si="6"/>
        <v>86342</v>
      </c>
      <c r="K146" s="9"/>
      <c r="L146" s="9"/>
      <c r="M146" s="9"/>
      <c r="N146" s="9">
        <f t="shared" si="7"/>
        <v>53.23181258</v>
      </c>
      <c r="O146" s="10">
        <f t="shared" si="8"/>
        <v>21.17493473</v>
      </c>
      <c r="P146" s="9">
        <v>10.0</v>
      </c>
      <c r="Q146" s="11" t="str">
        <f t="shared" si="9"/>
        <v>cobertura correcta</v>
      </c>
      <c r="R146" s="12"/>
      <c r="S146" s="8"/>
      <c r="T146" s="12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15.75" customHeight="1">
      <c r="A147" s="5" t="s">
        <v>298</v>
      </c>
      <c r="B147" s="6" t="s">
        <v>299</v>
      </c>
      <c r="C147" s="6">
        <f t="shared" si="1"/>
        <v>8063</v>
      </c>
      <c r="D147" s="6">
        <f t="shared" si="26"/>
        <v>300</v>
      </c>
      <c r="E147" s="7">
        <v>0.0</v>
      </c>
      <c r="F147" s="8"/>
      <c r="G147" s="6">
        <f t="shared" si="3"/>
        <v>2533</v>
      </c>
      <c r="H147" s="6">
        <f t="shared" si="4"/>
        <v>16483</v>
      </c>
      <c r="I147" s="6">
        <f t="shared" si="5"/>
        <v>26311</v>
      </c>
      <c r="J147" s="6">
        <f t="shared" si="6"/>
        <v>30718</v>
      </c>
      <c r="K147" s="9"/>
      <c r="L147" s="9"/>
      <c r="M147" s="9"/>
      <c r="N147" s="9">
        <f t="shared" si="7"/>
        <v>3.809748233</v>
      </c>
      <c r="O147" s="10">
        <f t="shared" si="8"/>
        <v>95.49545993</v>
      </c>
      <c r="P147" s="9">
        <v>10.0</v>
      </c>
      <c r="Q147" s="11" t="str">
        <f t="shared" si="9"/>
        <v>cobertura correcta</v>
      </c>
      <c r="R147" s="12"/>
      <c r="S147" s="8"/>
      <c r="T147" s="12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15.75" customHeight="1">
      <c r="A148" s="5" t="s">
        <v>300</v>
      </c>
      <c r="B148" s="6" t="s">
        <v>301</v>
      </c>
      <c r="C148" s="6">
        <f t="shared" si="1"/>
        <v>1956</v>
      </c>
      <c r="D148" s="6">
        <f t="shared" si="26"/>
        <v>76</v>
      </c>
      <c r="E148" s="7">
        <v>0.0</v>
      </c>
      <c r="F148" s="8"/>
      <c r="G148" s="6">
        <f t="shared" si="3"/>
        <v>6795</v>
      </c>
      <c r="H148" s="6">
        <f t="shared" si="4"/>
        <v>10589</v>
      </c>
      <c r="I148" s="6">
        <f t="shared" si="5"/>
        <v>28588</v>
      </c>
      <c r="J148" s="6">
        <f t="shared" si="6"/>
        <v>50729</v>
      </c>
      <c r="K148" s="9"/>
      <c r="L148" s="9"/>
      <c r="M148" s="9"/>
      <c r="N148" s="9">
        <f t="shared" si="7"/>
        <v>25.93507157</v>
      </c>
      <c r="O148" s="10">
        <f t="shared" si="8"/>
        <v>8.635761589</v>
      </c>
      <c r="P148" s="9">
        <v>10.0</v>
      </c>
      <c r="Q148" s="11" t="str">
        <f t="shared" si="9"/>
        <v>¡Compra YA!</v>
      </c>
      <c r="R148" s="12"/>
      <c r="S148" s="8"/>
      <c r="T148" s="12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15.75" customHeight="1">
      <c r="A149" s="5" t="s">
        <v>302</v>
      </c>
      <c r="B149" s="6" t="s">
        <v>303</v>
      </c>
      <c r="C149" s="6">
        <f t="shared" si="1"/>
        <v>4654</v>
      </c>
      <c r="D149" s="6">
        <f t="shared" si="26"/>
        <v>311</v>
      </c>
      <c r="E149" s="7">
        <v>0.0</v>
      </c>
      <c r="F149" s="8"/>
      <c r="G149" s="6">
        <f t="shared" si="3"/>
        <v>7980</v>
      </c>
      <c r="H149" s="6">
        <f t="shared" si="4"/>
        <v>11427</v>
      </c>
      <c r="I149" s="6">
        <f t="shared" si="5"/>
        <v>21098</v>
      </c>
      <c r="J149" s="6">
        <f t="shared" si="6"/>
        <v>60876</v>
      </c>
      <c r="K149" s="9"/>
      <c r="L149" s="9"/>
      <c r="M149" s="9"/>
      <c r="N149" s="9">
        <f t="shared" si="7"/>
        <v>13.08036098</v>
      </c>
      <c r="O149" s="10">
        <f t="shared" si="8"/>
        <v>17.4962406</v>
      </c>
      <c r="P149" s="9">
        <v>10.0</v>
      </c>
      <c r="Q149" s="11" t="str">
        <f t="shared" si="9"/>
        <v>cobertura correcta</v>
      </c>
      <c r="R149" s="12"/>
      <c r="S149" s="8"/>
      <c r="T149" s="12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15.75" customHeight="1">
      <c r="A150" s="5" t="s">
        <v>304</v>
      </c>
      <c r="B150" s="6" t="s">
        <v>305</v>
      </c>
      <c r="C150" s="6">
        <f t="shared" si="1"/>
        <v>7329</v>
      </c>
      <c r="D150" s="6">
        <f t="shared" si="26"/>
        <v>138</v>
      </c>
      <c r="E150" s="7">
        <v>0.0</v>
      </c>
      <c r="F150" s="8"/>
      <c r="G150" s="6">
        <f t="shared" si="3"/>
        <v>5612</v>
      </c>
      <c r="H150" s="6">
        <f t="shared" si="4"/>
        <v>10033</v>
      </c>
      <c r="I150" s="6">
        <f t="shared" si="5"/>
        <v>19930</v>
      </c>
      <c r="J150" s="6">
        <f t="shared" si="6"/>
        <v>95129</v>
      </c>
      <c r="K150" s="9"/>
      <c r="L150" s="9"/>
      <c r="M150" s="9"/>
      <c r="N150" s="9">
        <f t="shared" si="7"/>
        <v>12.97980625</v>
      </c>
      <c r="O150" s="10">
        <f t="shared" si="8"/>
        <v>39.17854597</v>
      </c>
      <c r="P150" s="9">
        <v>10.0</v>
      </c>
      <c r="Q150" s="11" t="str">
        <f t="shared" si="9"/>
        <v>cobertura correcta</v>
      </c>
      <c r="R150" s="12"/>
      <c r="S150" s="8"/>
      <c r="T150" s="12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15.75" customHeight="1">
      <c r="A151" s="5" t="s">
        <v>306</v>
      </c>
      <c r="B151" s="6" t="s">
        <v>307</v>
      </c>
      <c r="C151" s="6">
        <f t="shared" si="1"/>
        <v>1061</v>
      </c>
      <c r="D151" s="6">
        <f t="shared" si="26"/>
        <v>261</v>
      </c>
      <c r="E151" s="7">
        <v>0.0</v>
      </c>
      <c r="F151" s="8"/>
      <c r="G151" s="6">
        <f t="shared" si="3"/>
        <v>6225</v>
      </c>
      <c r="H151" s="6">
        <f t="shared" si="4"/>
        <v>9781</v>
      </c>
      <c r="I151" s="6">
        <f t="shared" si="5"/>
        <v>24869</v>
      </c>
      <c r="J151" s="6">
        <f t="shared" si="6"/>
        <v>56721</v>
      </c>
      <c r="K151" s="9"/>
      <c r="L151" s="9"/>
      <c r="M151" s="9"/>
      <c r="N151" s="9">
        <f t="shared" si="7"/>
        <v>53.45994345</v>
      </c>
      <c r="O151" s="10">
        <f t="shared" si="8"/>
        <v>5.113253012</v>
      </c>
      <c r="P151" s="9">
        <v>10.0</v>
      </c>
      <c r="Q151" s="11" t="str">
        <f t="shared" si="9"/>
        <v>¡Compra YA!</v>
      </c>
      <c r="R151" s="12"/>
      <c r="S151" s="8"/>
      <c r="T151" s="12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15.75" customHeight="1">
      <c r="A152" s="5" t="s">
        <v>308</v>
      </c>
      <c r="B152" s="6" t="s">
        <v>309</v>
      </c>
      <c r="C152" s="6">
        <f t="shared" si="1"/>
        <v>1423</v>
      </c>
      <c r="D152" s="6">
        <f t="shared" si="26"/>
        <v>154</v>
      </c>
      <c r="E152" s="7">
        <v>0.0</v>
      </c>
      <c r="F152" s="8"/>
      <c r="G152" s="6">
        <f t="shared" si="3"/>
        <v>2693</v>
      </c>
      <c r="H152" s="6">
        <f t="shared" si="4"/>
        <v>13595</v>
      </c>
      <c r="I152" s="6">
        <f t="shared" si="5"/>
        <v>27646</v>
      </c>
      <c r="J152" s="6">
        <f t="shared" si="6"/>
        <v>48111</v>
      </c>
      <c r="K152" s="9"/>
      <c r="L152" s="9"/>
      <c r="M152" s="9"/>
      <c r="N152" s="9">
        <f t="shared" si="7"/>
        <v>33.80955727</v>
      </c>
      <c r="O152" s="10">
        <f t="shared" si="8"/>
        <v>15.85220943</v>
      </c>
      <c r="P152" s="9">
        <v>10.0</v>
      </c>
      <c r="Q152" s="11" t="str">
        <f t="shared" si="9"/>
        <v>cobertura correcta</v>
      </c>
      <c r="R152" s="12"/>
      <c r="S152" s="8"/>
      <c r="T152" s="12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15.75" customHeight="1">
      <c r="A153" s="5" t="s">
        <v>310</v>
      </c>
      <c r="B153" s="6" t="s">
        <v>311</v>
      </c>
      <c r="C153" s="6">
        <f t="shared" si="1"/>
        <v>2518</v>
      </c>
      <c r="D153" s="6">
        <f t="shared" si="26"/>
        <v>273</v>
      </c>
      <c r="E153" s="7">
        <v>0.0</v>
      </c>
      <c r="F153" s="8"/>
      <c r="G153" s="6">
        <f t="shared" si="3"/>
        <v>5850</v>
      </c>
      <c r="H153" s="6">
        <f t="shared" si="4"/>
        <v>12371</v>
      </c>
      <c r="I153" s="6">
        <f t="shared" si="5"/>
        <v>24870</v>
      </c>
      <c r="J153" s="6">
        <f t="shared" si="6"/>
        <v>65797</v>
      </c>
      <c r="K153" s="9"/>
      <c r="L153" s="9"/>
      <c r="M153" s="9"/>
      <c r="N153" s="9">
        <f t="shared" si="7"/>
        <v>26.13065925</v>
      </c>
      <c r="O153" s="10">
        <f t="shared" si="8"/>
        <v>12.91282051</v>
      </c>
      <c r="P153" s="9">
        <v>10.0</v>
      </c>
      <c r="Q153" s="11" t="str">
        <f t="shared" si="9"/>
        <v>cobertura correcta</v>
      </c>
      <c r="R153" s="12"/>
      <c r="S153" s="8"/>
      <c r="T153" s="12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15.75" customHeight="1">
      <c r="A154" s="5" t="s">
        <v>312</v>
      </c>
      <c r="B154" s="6" t="s">
        <v>313</v>
      </c>
      <c r="C154" s="6">
        <f t="shared" si="1"/>
        <v>8534</v>
      </c>
      <c r="D154" s="6">
        <f t="shared" si="26"/>
        <v>143</v>
      </c>
      <c r="E154" s="7">
        <v>0.0</v>
      </c>
      <c r="F154" s="8"/>
      <c r="G154" s="6">
        <f t="shared" si="3"/>
        <v>3811</v>
      </c>
      <c r="H154" s="6">
        <f t="shared" si="4"/>
        <v>18102</v>
      </c>
      <c r="I154" s="6">
        <f t="shared" si="5"/>
        <v>24773</v>
      </c>
      <c r="J154" s="6">
        <f t="shared" si="6"/>
        <v>55181</v>
      </c>
      <c r="K154" s="9"/>
      <c r="L154" s="9"/>
      <c r="M154" s="9"/>
      <c r="N154" s="9">
        <f t="shared" si="7"/>
        <v>6.46601828</v>
      </c>
      <c r="O154" s="10">
        <f t="shared" si="8"/>
        <v>67.17921805</v>
      </c>
      <c r="P154" s="9">
        <v>10.0</v>
      </c>
      <c r="Q154" s="11" t="str">
        <f t="shared" si="9"/>
        <v>cobertura correcta</v>
      </c>
      <c r="R154" s="12"/>
      <c r="S154" s="8"/>
      <c r="T154" s="12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15.75" customHeight="1">
      <c r="A155" s="5" t="s">
        <v>314</v>
      </c>
      <c r="B155" s="6" t="s">
        <v>315</v>
      </c>
      <c r="C155" s="6">
        <f t="shared" si="1"/>
        <v>3140</v>
      </c>
      <c r="D155" s="6">
        <f t="shared" si="26"/>
        <v>306</v>
      </c>
      <c r="E155" s="7">
        <v>0.0</v>
      </c>
      <c r="F155" s="8"/>
      <c r="G155" s="6">
        <f t="shared" si="3"/>
        <v>1395</v>
      </c>
      <c r="H155" s="6">
        <f t="shared" si="4"/>
        <v>12749</v>
      </c>
      <c r="I155" s="6">
        <f t="shared" si="5"/>
        <v>24423</v>
      </c>
      <c r="J155" s="6">
        <f t="shared" si="6"/>
        <v>98568</v>
      </c>
      <c r="K155" s="9"/>
      <c r="L155" s="9"/>
      <c r="M155" s="9"/>
      <c r="N155" s="9">
        <f t="shared" si="7"/>
        <v>31.3910828</v>
      </c>
      <c r="O155" s="10">
        <f t="shared" si="8"/>
        <v>67.52688172</v>
      </c>
      <c r="P155" s="9">
        <v>10.0</v>
      </c>
      <c r="Q155" s="11" t="str">
        <f t="shared" si="9"/>
        <v>cobertura correcta</v>
      </c>
      <c r="R155" s="12"/>
      <c r="S155" s="8"/>
      <c r="T155" s="12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15.75" customHeight="1">
      <c r="A156" s="5" t="s">
        <v>316</v>
      </c>
      <c r="B156" s="6" t="s">
        <v>317</v>
      </c>
      <c r="C156" s="6">
        <f t="shared" si="1"/>
        <v>8947</v>
      </c>
      <c r="D156" s="6">
        <f t="shared" si="26"/>
        <v>258</v>
      </c>
      <c r="E156" s="6">
        <f t="shared" ref="E156:E158" si="28">RANDBETWEEN(0, 1000)</f>
        <v>332</v>
      </c>
      <c r="F156" s="8"/>
      <c r="G156" s="6">
        <f t="shared" si="3"/>
        <v>7128</v>
      </c>
      <c r="H156" s="6">
        <f t="shared" si="4"/>
        <v>9065</v>
      </c>
      <c r="I156" s="6">
        <f t="shared" si="5"/>
        <v>27543</v>
      </c>
      <c r="J156" s="6">
        <f t="shared" si="6"/>
        <v>66136</v>
      </c>
      <c r="K156" s="9"/>
      <c r="L156" s="9"/>
      <c r="M156" s="9"/>
      <c r="N156" s="9">
        <f t="shared" si="7"/>
        <v>7.391974964</v>
      </c>
      <c r="O156" s="10">
        <f t="shared" si="8"/>
        <v>37.65572391</v>
      </c>
      <c r="P156" s="9">
        <v>10.0</v>
      </c>
      <c r="Q156" s="11" t="str">
        <f t="shared" si="9"/>
        <v>cobertura correcta</v>
      </c>
      <c r="R156" s="12"/>
      <c r="S156" s="8"/>
      <c r="T156" s="12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15.75" customHeight="1">
      <c r="A157" s="5" t="s">
        <v>318</v>
      </c>
      <c r="B157" s="6" t="s">
        <v>319</v>
      </c>
      <c r="C157" s="6">
        <f t="shared" si="1"/>
        <v>8660</v>
      </c>
      <c r="D157" s="6">
        <f t="shared" si="26"/>
        <v>280</v>
      </c>
      <c r="E157" s="6">
        <f t="shared" si="28"/>
        <v>611</v>
      </c>
      <c r="F157" s="8"/>
      <c r="G157" s="6">
        <f t="shared" si="3"/>
        <v>4818</v>
      </c>
      <c r="H157" s="6">
        <f t="shared" si="4"/>
        <v>9360</v>
      </c>
      <c r="I157" s="6">
        <f t="shared" si="5"/>
        <v>27940</v>
      </c>
      <c r="J157" s="6">
        <f t="shared" si="6"/>
        <v>29039</v>
      </c>
      <c r="K157" s="9"/>
      <c r="L157" s="9"/>
      <c r="M157" s="9"/>
      <c r="N157" s="9">
        <f t="shared" si="7"/>
        <v>3.353233256</v>
      </c>
      <c r="O157" s="10">
        <f t="shared" si="8"/>
        <v>53.92278954</v>
      </c>
      <c r="P157" s="9">
        <v>10.0</v>
      </c>
      <c r="Q157" s="11" t="str">
        <f t="shared" si="9"/>
        <v>cobertura correcta</v>
      </c>
      <c r="R157" s="12"/>
      <c r="S157" s="8"/>
      <c r="T157" s="12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15.75" customHeight="1">
      <c r="A158" s="5" t="s">
        <v>320</v>
      </c>
      <c r="B158" s="6" t="s">
        <v>321</v>
      </c>
      <c r="C158" s="6">
        <f t="shared" si="1"/>
        <v>4518</v>
      </c>
      <c r="D158" s="6">
        <f t="shared" si="26"/>
        <v>133</v>
      </c>
      <c r="E158" s="6">
        <f t="shared" si="28"/>
        <v>840</v>
      </c>
      <c r="F158" s="8"/>
      <c r="G158" s="6">
        <f t="shared" si="3"/>
        <v>6110</v>
      </c>
      <c r="H158" s="6">
        <f t="shared" si="4"/>
        <v>15557</v>
      </c>
      <c r="I158" s="6">
        <f t="shared" si="5"/>
        <v>28802</v>
      </c>
      <c r="J158" s="6">
        <f t="shared" si="6"/>
        <v>39151</v>
      </c>
      <c r="K158" s="9"/>
      <c r="L158" s="9"/>
      <c r="M158" s="9"/>
      <c r="N158" s="9">
        <f t="shared" si="7"/>
        <v>8.665559982</v>
      </c>
      <c r="O158" s="10">
        <f t="shared" si="8"/>
        <v>22.18330606</v>
      </c>
      <c r="P158" s="9">
        <v>10.0</v>
      </c>
      <c r="Q158" s="11" t="str">
        <f t="shared" si="9"/>
        <v>cobertura correcta</v>
      </c>
      <c r="R158" s="12"/>
      <c r="S158" s="8"/>
      <c r="T158" s="12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5.75" customHeight="1">
      <c r="A159" s="5" t="s">
        <v>322</v>
      </c>
      <c r="B159" s="6" t="s">
        <v>323</v>
      </c>
      <c r="C159" s="6">
        <f t="shared" si="1"/>
        <v>4382</v>
      </c>
      <c r="D159" s="6">
        <f t="shared" si="26"/>
        <v>300</v>
      </c>
      <c r="E159" s="7">
        <v>0.0</v>
      </c>
      <c r="F159" s="8"/>
      <c r="G159" s="6">
        <f t="shared" si="3"/>
        <v>2212</v>
      </c>
      <c r="H159" s="6">
        <f t="shared" si="4"/>
        <v>17781</v>
      </c>
      <c r="I159" s="6">
        <f t="shared" si="5"/>
        <v>27752</v>
      </c>
      <c r="J159" s="6">
        <f t="shared" si="6"/>
        <v>62625</v>
      </c>
      <c r="K159" s="9"/>
      <c r="L159" s="9"/>
      <c r="M159" s="9"/>
      <c r="N159" s="9">
        <f t="shared" si="7"/>
        <v>14.29141944</v>
      </c>
      <c r="O159" s="10">
        <f t="shared" si="8"/>
        <v>59.43037975</v>
      </c>
      <c r="P159" s="9">
        <v>10.0</v>
      </c>
      <c r="Q159" s="11" t="str">
        <f t="shared" si="9"/>
        <v>cobertura correcta</v>
      </c>
      <c r="R159" s="12"/>
      <c r="S159" s="8"/>
      <c r="T159" s="12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5.75" customHeight="1">
      <c r="A160" s="5" t="s">
        <v>324</v>
      </c>
      <c r="B160" s="6" t="s">
        <v>325</v>
      </c>
      <c r="C160" s="6">
        <f t="shared" si="1"/>
        <v>8866</v>
      </c>
      <c r="D160" s="6">
        <f t="shared" si="26"/>
        <v>341</v>
      </c>
      <c r="E160" s="6">
        <f>RANDBETWEEN(0, 1000)</f>
        <v>809</v>
      </c>
      <c r="F160" s="8"/>
      <c r="G160" s="6">
        <f t="shared" si="3"/>
        <v>4113</v>
      </c>
      <c r="H160" s="6">
        <f t="shared" si="4"/>
        <v>12377</v>
      </c>
      <c r="I160" s="6">
        <f t="shared" si="5"/>
        <v>23729</v>
      </c>
      <c r="J160" s="6">
        <f t="shared" si="6"/>
        <v>58282</v>
      </c>
      <c r="K160" s="9"/>
      <c r="L160" s="9"/>
      <c r="M160" s="9"/>
      <c r="N160" s="9">
        <f t="shared" si="7"/>
        <v>6.573652154</v>
      </c>
      <c r="O160" s="10">
        <f t="shared" si="8"/>
        <v>64.66812546</v>
      </c>
      <c r="P160" s="9">
        <v>10.0</v>
      </c>
      <c r="Q160" s="11" t="str">
        <f t="shared" si="9"/>
        <v>cobertura correcta</v>
      </c>
      <c r="R160" s="12"/>
      <c r="S160" s="8"/>
      <c r="T160" s="12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5.75" customHeight="1">
      <c r="A161" s="5" t="s">
        <v>326</v>
      </c>
      <c r="B161" s="6"/>
      <c r="C161" s="6">
        <f t="shared" si="1"/>
        <v>1005</v>
      </c>
      <c r="D161" s="6">
        <f t="shared" si="26"/>
        <v>347</v>
      </c>
      <c r="E161" s="7">
        <v>0.0</v>
      </c>
      <c r="F161" s="8"/>
      <c r="G161" s="6">
        <f t="shared" si="3"/>
        <v>7768</v>
      </c>
      <c r="H161" s="6">
        <f t="shared" si="4"/>
        <v>11513</v>
      </c>
      <c r="I161" s="6">
        <f t="shared" si="5"/>
        <v>25590</v>
      </c>
      <c r="J161" s="6">
        <f t="shared" si="6"/>
        <v>30191</v>
      </c>
      <c r="K161" s="9"/>
      <c r="L161" s="9"/>
      <c r="M161" s="9"/>
      <c r="N161" s="9">
        <f t="shared" si="7"/>
        <v>30.04079602</v>
      </c>
      <c r="O161" s="10">
        <f t="shared" si="8"/>
        <v>3.88130793</v>
      </c>
      <c r="P161" s="9">
        <v>10.0</v>
      </c>
      <c r="Q161" s="11" t="str">
        <f t="shared" si="9"/>
        <v>¡Compra YA!</v>
      </c>
      <c r="R161" s="12"/>
      <c r="S161" s="8"/>
      <c r="T161" s="12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5.75" customHeight="1">
      <c r="A162" s="5" t="s">
        <v>327</v>
      </c>
      <c r="B162" s="6"/>
      <c r="C162" s="6">
        <f t="shared" si="1"/>
        <v>7473</v>
      </c>
      <c r="D162" s="6">
        <f t="shared" si="26"/>
        <v>198</v>
      </c>
      <c r="E162" s="7">
        <v>0.0</v>
      </c>
      <c r="F162" s="8"/>
      <c r="G162" s="6">
        <f t="shared" si="3"/>
        <v>8124</v>
      </c>
      <c r="H162" s="6">
        <f t="shared" si="4"/>
        <v>17442</v>
      </c>
      <c r="I162" s="6">
        <f t="shared" si="5"/>
        <v>22053</v>
      </c>
      <c r="J162" s="6">
        <f t="shared" si="6"/>
        <v>62581</v>
      </c>
      <c r="K162" s="9"/>
      <c r="L162" s="9"/>
      <c r="M162" s="9"/>
      <c r="N162" s="9">
        <f t="shared" si="7"/>
        <v>8.374280744</v>
      </c>
      <c r="O162" s="10">
        <f t="shared" si="8"/>
        <v>27.59601182</v>
      </c>
      <c r="P162" s="9">
        <v>10.0</v>
      </c>
      <c r="Q162" s="11" t="str">
        <f t="shared" si="9"/>
        <v>cobertura correcta</v>
      </c>
      <c r="R162" s="12"/>
      <c r="S162" s="8"/>
      <c r="T162" s="12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5.75" customHeight="1">
      <c r="A163" s="5" t="s">
        <v>328</v>
      </c>
      <c r="B163" s="6" t="s">
        <v>329</v>
      </c>
      <c r="C163" s="6">
        <f t="shared" si="1"/>
        <v>1789</v>
      </c>
      <c r="D163" s="6">
        <f t="shared" si="26"/>
        <v>230</v>
      </c>
      <c r="E163" s="6">
        <f>RANDBETWEEN(0, 1000)</f>
        <v>823</v>
      </c>
      <c r="F163" s="8"/>
      <c r="G163" s="6">
        <f t="shared" si="3"/>
        <v>3299</v>
      </c>
      <c r="H163" s="6">
        <f t="shared" si="4"/>
        <v>16443</v>
      </c>
      <c r="I163" s="6">
        <f t="shared" si="5"/>
        <v>24232</v>
      </c>
      <c r="J163" s="6">
        <f t="shared" si="6"/>
        <v>68046</v>
      </c>
      <c r="K163" s="9"/>
      <c r="L163" s="9"/>
      <c r="M163" s="9"/>
      <c r="N163" s="9">
        <f t="shared" si="7"/>
        <v>38.03577418</v>
      </c>
      <c r="O163" s="10">
        <f t="shared" si="8"/>
        <v>16.26856623</v>
      </c>
      <c r="P163" s="9">
        <v>20.0</v>
      </c>
      <c r="Q163" s="11" t="str">
        <f t="shared" si="9"/>
        <v>¡Compra YA!</v>
      </c>
      <c r="R163" s="12"/>
      <c r="S163" s="8"/>
      <c r="T163" s="12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5.75" customHeight="1">
      <c r="A164" s="5" t="s">
        <v>330</v>
      </c>
      <c r="B164" s="6" t="s">
        <v>331</v>
      </c>
      <c r="C164" s="6">
        <f t="shared" si="1"/>
        <v>3048</v>
      </c>
      <c r="D164" s="6">
        <f t="shared" si="26"/>
        <v>338</v>
      </c>
      <c r="E164" s="7">
        <v>0.0</v>
      </c>
      <c r="F164" s="8"/>
      <c r="G164" s="6">
        <f t="shared" si="3"/>
        <v>2227</v>
      </c>
      <c r="H164" s="6">
        <f t="shared" si="4"/>
        <v>17752</v>
      </c>
      <c r="I164" s="6">
        <f t="shared" si="5"/>
        <v>24744</v>
      </c>
      <c r="J164" s="6">
        <f t="shared" si="6"/>
        <v>56744</v>
      </c>
      <c r="K164" s="9"/>
      <c r="L164" s="9"/>
      <c r="M164" s="9"/>
      <c r="N164" s="9">
        <f t="shared" si="7"/>
        <v>18.6167979</v>
      </c>
      <c r="O164" s="10">
        <f t="shared" si="8"/>
        <v>41.0597216</v>
      </c>
      <c r="P164" s="9">
        <v>20.0</v>
      </c>
      <c r="Q164" s="11" t="str">
        <f t="shared" si="9"/>
        <v>cobertura correcta</v>
      </c>
      <c r="R164" s="12"/>
      <c r="S164" s="8"/>
      <c r="T164" s="12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5.75" customHeight="1">
      <c r="A165" s="5" t="s">
        <v>332</v>
      </c>
      <c r="B165" s="6" t="s">
        <v>333</v>
      </c>
      <c r="C165" s="6">
        <f t="shared" si="1"/>
        <v>4997</v>
      </c>
      <c r="D165" s="6">
        <f t="shared" si="26"/>
        <v>58</v>
      </c>
      <c r="E165" s="6">
        <f>RANDBETWEEN(0, 1000)</f>
        <v>543</v>
      </c>
      <c r="F165" s="8"/>
      <c r="G165" s="6">
        <f t="shared" si="3"/>
        <v>6677</v>
      </c>
      <c r="H165" s="6">
        <f t="shared" si="4"/>
        <v>11799</v>
      </c>
      <c r="I165" s="6">
        <f t="shared" si="5"/>
        <v>27398</v>
      </c>
      <c r="J165" s="6">
        <f t="shared" si="6"/>
        <v>31811</v>
      </c>
      <c r="K165" s="9"/>
      <c r="L165" s="9"/>
      <c r="M165" s="9"/>
      <c r="N165" s="9">
        <f t="shared" si="7"/>
        <v>6.366019612</v>
      </c>
      <c r="O165" s="10">
        <f t="shared" si="8"/>
        <v>22.45169987</v>
      </c>
      <c r="P165" s="9">
        <v>20.0</v>
      </c>
      <c r="Q165" s="11" t="str">
        <f t="shared" si="9"/>
        <v>cobertura correcta</v>
      </c>
      <c r="R165" s="12"/>
      <c r="S165" s="8"/>
      <c r="T165" s="12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5.75" customHeight="1">
      <c r="A166" s="5" t="s">
        <v>334</v>
      </c>
      <c r="B166" s="6" t="s">
        <v>335</v>
      </c>
      <c r="C166" s="6">
        <f t="shared" si="1"/>
        <v>6160</v>
      </c>
      <c r="D166" s="6">
        <f t="shared" si="26"/>
        <v>98</v>
      </c>
      <c r="E166" s="7">
        <v>0.0</v>
      </c>
      <c r="F166" s="8"/>
      <c r="G166" s="6">
        <f t="shared" si="3"/>
        <v>1526</v>
      </c>
      <c r="H166" s="6">
        <f t="shared" si="4"/>
        <v>15034</v>
      </c>
      <c r="I166" s="6">
        <f t="shared" si="5"/>
        <v>28996</v>
      </c>
      <c r="J166" s="6">
        <f t="shared" si="6"/>
        <v>58117</v>
      </c>
      <c r="K166" s="9"/>
      <c r="L166" s="9"/>
      <c r="M166" s="9"/>
      <c r="N166" s="9">
        <f t="shared" si="7"/>
        <v>9.434577922</v>
      </c>
      <c r="O166" s="10">
        <f t="shared" si="8"/>
        <v>121.1009174</v>
      </c>
      <c r="P166" s="9">
        <v>20.0</v>
      </c>
      <c r="Q166" s="11" t="str">
        <f t="shared" si="9"/>
        <v>cobertura correcta</v>
      </c>
      <c r="R166" s="12"/>
      <c r="S166" s="8"/>
      <c r="T166" s="12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5.75" customHeight="1">
      <c r="A167" s="5" t="s">
        <v>336</v>
      </c>
      <c r="B167" s="6" t="s">
        <v>337</v>
      </c>
      <c r="C167" s="6">
        <f t="shared" si="1"/>
        <v>8880</v>
      </c>
      <c r="D167" s="6">
        <f t="shared" si="26"/>
        <v>321</v>
      </c>
      <c r="E167" s="7">
        <v>0.0</v>
      </c>
      <c r="F167" s="8"/>
      <c r="G167" s="6">
        <f t="shared" si="3"/>
        <v>1650</v>
      </c>
      <c r="H167" s="6">
        <f t="shared" si="4"/>
        <v>14357</v>
      </c>
      <c r="I167" s="6">
        <f t="shared" si="5"/>
        <v>26934</v>
      </c>
      <c r="J167" s="6">
        <f t="shared" si="6"/>
        <v>77680</v>
      </c>
      <c r="K167" s="9"/>
      <c r="L167" s="9"/>
      <c r="M167" s="9"/>
      <c r="N167" s="9">
        <f t="shared" si="7"/>
        <v>8.747747748</v>
      </c>
      <c r="O167" s="10">
        <f t="shared" si="8"/>
        <v>161.4545455</v>
      </c>
      <c r="P167" s="9">
        <v>20.0</v>
      </c>
      <c r="Q167" s="11" t="str">
        <f t="shared" si="9"/>
        <v>cobertura correcta</v>
      </c>
      <c r="R167" s="12"/>
      <c r="S167" s="8"/>
      <c r="T167" s="12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5.75" customHeight="1">
      <c r="A168" s="5" t="s">
        <v>338</v>
      </c>
      <c r="B168" s="6" t="s">
        <v>339</v>
      </c>
      <c r="C168" s="6">
        <f t="shared" si="1"/>
        <v>4689</v>
      </c>
      <c r="D168" s="6">
        <f t="shared" si="26"/>
        <v>325</v>
      </c>
      <c r="E168" s="7">
        <v>0.0</v>
      </c>
      <c r="F168" s="8"/>
      <c r="G168" s="6">
        <f t="shared" si="3"/>
        <v>5778</v>
      </c>
      <c r="H168" s="6">
        <f t="shared" si="4"/>
        <v>12634</v>
      </c>
      <c r="I168" s="6">
        <f t="shared" si="5"/>
        <v>22717</v>
      </c>
      <c r="J168" s="6">
        <f t="shared" si="6"/>
        <v>36490</v>
      </c>
      <c r="K168" s="9"/>
      <c r="L168" s="9"/>
      <c r="M168" s="9"/>
      <c r="N168" s="9">
        <f t="shared" si="7"/>
        <v>7.78204308</v>
      </c>
      <c r="O168" s="10">
        <f t="shared" si="8"/>
        <v>24.34579439</v>
      </c>
      <c r="P168" s="9">
        <v>20.0</v>
      </c>
      <c r="Q168" s="11" t="str">
        <f t="shared" si="9"/>
        <v>cobertura correcta</v>
      </c>
      <c r="R168" s="12"/>
      <c r="S168" s="8"/>
      <c r="T168" s="12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5.75" customHeight="1">
      <c r="A169" s="5" t="s">
        <v>340</v>
      </c>
      <c r="B169" s="6" t="s">
        <v>341</v>
      </c>
      <c r="C169" s="6">
        <f t="shared" si="1"/>
        <v>6220</v>
      </c>
      <c r="D169" s="6">
        <f t="shared" si="26"/>
        <v>122</v>
      </c>
      <c r="E169" s="7">
        <v>0.0</v>
      </c>
      <c r="F169" s="8"/>
      <c r="G169" s="6">
        <f t="shared" si="3"/>
        <v>3058</v>
      </c>
      <c r="H169" s="6">
        <f t="shared" si="4"/>
        <v>11718</v>
      </c>
      <c r="I169" s="6">
        <f t="shared" si="5"/>
        <v>24505</v>
      </c>
      <c r="J169" s="6">
        <f t="shared" si="6"/>
        <v>46196</v>
      </c>
      <c r="K169" s="9"/>
      <c r="L169" s="9"/>
      <c r="M169" s="9"/>
      <c r="N169" s="9">
        <f t="shared" si="7"/>
        <v>7.427009646</v>
      </c>
      <c r="O169" s="10">
        <f t="shared" si="8"/>
        <v>61.02027469</v>
      </c>
      <c r="P169" s="9">
        <v>20.0</v>
      </c>
      <c r="Q169" s="11" t="str">
        <f t="shared" si="9"/>
        <v>cobertura correcta</v>
      </c>
      <c r="R169" s="12"/>
      <c r="S169" s="8"/>
      <c r="T169" s="12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5.75" customHeight="1">
      <c r="A170" s="5" t="s">
        <v>342</v>
      </c>
      <c r="B170" s="6" t="s">
        <v>343</v>
      </c>
      <c r="C170" s="6">
        <f t="shared" si="1"/>
        <v>6847</v>
      </c>
      <c r="D170" s="6">
        <f t="shared" si="26"/>
        <v>124</v>
      </c>
      <c r="E170" s="7">
        <v>0.0</v>
      </c>
      <c r="F170" s="8"/>
      <c r="G170" s="6">
        <f t="shared" si="3"/>
        <v>8511</v>
      </c>
      <c r="H170" s="6">
        <f t="shared" si="4"/>
        <v>14847</v>
      </c>
      <c r="I170" s="6">
        <f t="shared" si="5"/>
        <v>20526</v>
      </c>
      <c r="J170" s="6">
        <f t="shared" si="6"/>
        <v>82823</v>
      </c>
      <c r="K170" s="9"/>
      <c r="L170" s="9"/>
      <c r="M170" s="9"/>
      <c r="N170" s="9">
        <f t="shared" si="7"/>
        <v>12.09624653</v>
      </c>
      <c r="O170" s="10">
        <f t="shared" si="8"/>
        <v>24.13464928</v>
      </c>
      <c r="P170" s="9">
        <v>20.0</v>
      </c>
      <c r="Q170" s="11" t="str">
        <f t="shared" si="9"/>
        <v>cobertura correcta</v>
      </c>
      <c r="R170" s="12"/>
      <c r="S170" s="8"/>
      <c r="T170" s="12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5.75" customHeight="1">
      <c r="A171" s="5" t="s">
        <v>344</v>
      </c>
      <c r="B171" s="6" t="s">
        <v>345</v>
      </c>
      <c r="C171" s="6">
        <f t="shared" si="1"/>
        <v>6237</v>
      </c>
      <c r="D171" s="6">
        <f t="shared" si="26"/>
        <v>25</v>
      </c>
      <c r="E171" s="7">
        <v>0.0</v>
      </c>
      <c r="F171" s="8"/>
      <c r="G171" s="6">
        <f t="shared" si="3"/>
        <v>8039</v>
      </c>
      <c r="H171" s="6">
        <f t="shared" si="4"/>
        <v>11545</v>
      </c>
      <c r="I171" s="6">
        <f t="shared" si="5"/>
        <v>23152</v>
      </c>
      <c r="J171" s="6">
        <f t="shared" si="6"/>
        <v>37473</v>
      </c>
      <c r="K171" s="9"/>
      <c r="L171" s="9"/>
      <c r="M171" s="9"/>
      <c r="N171" s="9">
        <f t="shared" si="7"/>
        <v>6.008177008</v>
      </c>
      <c r="O171" s="10">
        <f t="shared" si="8"/>
        <v>23.275283</v>
      </c>
      <c r="P171" s="9">
        <v>20.0</v>
      </c>
      <c r="Q171" s="11" t="str">
        <f t="shared" si="9"/>
        <v>cobertura correcta</v>
      </c>
      <c r="R171" s="12"/>
      <c r="S171" s="8"/>
      <c r="T171" s="12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5.75" customHeight="1">
      <c r="A172" s="5" t="s">
        <v>346</v>
      </c>
      <c r="B172" s="6" t="s">
        <v>347</v>
      </c>
      <c r="C172" s="6">
        <f t="shared" si="1"/>
        <v>6645</v>
      </c>
      <c r="D172" s="6">
        <f t="shared" si="26"/>
        <v>44</v>
      </c>
      <c r="E172" s="7">
        <v>0.0</v>
      </c>
      <c r="F172" s="8"/>
      <c r="G172" s="6">
        <f t="shared" si="3"/>
        <v>4366</v>
      </c>
      <c r="H172" s="6">
        <f t="shared" si="4"/>
        <v>13103</v>
      </c>
      <c r="I172" s="6">
        <f t="shared" si="5"/>
        <v>23541</v>
      </c>
      <c r="J172" s="6">
        <f t="shared" si="6"/>
        <v>77813</v>
      </c>
      <c r="K172" s="9"/>
      <c r="L172" s="9"/>
      <c r="M172" s="9"/>
      <c r="N172" s="9">
        <f t="shared" si="7"/>
        <v>11.71000752</v>
      </c>
      <c r="O172" s="10">
        <f t="shared" si="8"/>
        <v>45.65964269</v>
      </c>
      <c r="P172" s="9">
        <v>20.0</v>
      </c>
      <c r="Q172" s="11" t="str">
        <f t="shared" si="9"/>
        <v>cobertura correcta</v>
      </c>
      <c r="R172" s="12"/>
      <c r="S172" s="8"/>
      <c r="T172" s="12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5.75" customHeight="1">
      <c r="A173" s="5" t="s">
        <v>348</v>
      </c>
      <c r="B173" s="6" t="s">
        <v>349</v>
      </c>
      <c r="C173" s="6">
        <f t="shared" si="1"/>
        <v>8115</v>
      </c>
      <c r="D173" s="6">
        <f t="shared" si="26"/>
        <v>278</v>
      </c>
      <c r="E173" s="7">
        <v>0.0</v>
      </c>
      <c r="F173" s="8"/>
      <c r="G173" s="6">
        <f t="shared" si="3"/>
        <v>1051</v>
      </c>
      <c r="H173" s="6">
        <f t="shared" si="4"/>
        <v>12112</v>
      </c>
      <c r="I173" s="6">
        <f t="shared" si="5"/>
        <v>20007</v>
      </c>
      <c r="J173" s="6">
        <f t="shared" si="6"/>
        <v>32334</v>
      </c>
      <c r="K173" s="9"/>
      <c r="L173" s="9"/>
      <c r="M173" s="9"/>
      <c r="N173" s="9">
        <f t="shared" si="7"/>
        <v>3.984473198</v>
      </c>
      <c r="O173" s="10">
        <f t="shared" si="8"/>
        <v>231.6365366</v>
      </c>
      <c r="P173" s="9">
        <v>20.0</v>
      </c>
      <c r="Q173" s="11" t="str">
        <f t="shared" si="9"/>
        <v>cobertura correcta</v>
      </c>
      <c r="R173" s="12"/>
      <c r="S173" s="8"/>
      <c r="T173" s="12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5.75" customHeight="1">
      <c r="A174" s="5" t="s">
        <v>350</v>
      </c>
      <c r="B174" s="6" t="s">
        <v>351</v>
      </c>
      <c r="C174" s="6">
        <f t="shared" si="1"/>
        <v>2059</v>
      </c>
      <c r="D174" s="6">
        <f t="shared" si="26"/>
        <v>73</v>
      </c>
      <c r="E174" s="7">
        <v>0.0</v>
      </c>
      <c r="F174" s="8"/>
      <c r="G174" s="6">
        <f t="shared" si="3"/>
        <v>3613</v>
      </c>
      <c r="H174" s="6">
        <f t="shared" si="4"/>
        <v>15724</v>
      </c>
      <c r="I174" s="6">
        <f t="shared" si="5"/>
        <v>28377</v>
      </c>
      <c r="J174" s="6">
        <f t="shared" si="6"/>
        <v>30818</v>
      </c>
      <c r="K174" s="9"/>
      <c r="L174" s="9"/>
      <c r="M174" s="9"/>
      <c r="N174" s="9">
        <f t="shared" si="7"/>
        <v>14.96745993</v>
      </c>
      <c r="O174" s="10">
        <f t="shared" si="8"/>
        <v>17.09659563</v>
      </c>
      <c r="P174" s="9">
        <v>20.0</v>
      </c>
      <c r="Q174" s="11" t="str">
        <f t="shared" si="9"/>
        <v>¡Compra YA!</v>
      </c>
      <c r="R174" s="12"/>
      <c r="S174" s="8"/>
      <c r="T174" s="12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5.75" customHeight="1">
      <c r="A175" s="5" t="s">
        <v>352</v>
      </c>
      <c r="B175" s="6" t="s">
        <v>353</v>
      </c>
      <c r="C175" s="6">
        <f t="shared" si="1"/>
        <v>6547</v>
      </c>
      <c r="D175" s="6">
        <f t="shared" si="26"/>
        <v>49</v>
      </c>
      <c r="E175" s="7">
        <v>0.0</v>
      </c>
      <c r="F175" s="8"/>
      <c r="G175" s="6">
        <f t="shared" si="3"/>
        <v>4243</v>
      </c>
      <c r="H175" s="6">
        <f t="shared" si="4"/>
        <v>13803</v>
      </c>
      <c r="I175" s="6">
        <f t="shared" si="5"/>
        <v>21897</v>
      </c>
      <c r="J175" s="6">
        <f t="shared" si="6"/>
        <v>43139</v>
      </c>
      <c r="K175" s="9"/>
      <c r="L175" s="9"/>
      <c r="M175" s="9"/>
      <c r="N175" s="9">
        <f t="shared" si="7"/>
        <v>6.58912479</v>
      </c>
      <c r="O175" s="10">
        <f t="shared" si="8"/>
        <v>46.29036059</v>
      </c>
      <c r="P175" s="9">
        <v>20.0</v>
      </c>
      <c r="Q175" s="11" t="str">
        <f t="shared" si="9"/>
        <v>cobertura correcta</v>
      </c>
      <c r="R175" s="12"/>
      <c r="S175" s="8"/>
      <c r="T175" s="12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5.75" customHeight="1">
      <c r="A176" s="5" t="s">
        <v>354</v>
      </c>
      <c r="B176" s="6" t="s">
        <v>355</v>
      </c>
      <c r="C176" s="6">
        <f t="shared" si="1"/>
        <v>5088</v>
      </c>
      <c r="D176" s="6">
        <f t="shared" si="26"/>
        <v>147</v>
      </c>
      <c r="E176" s="7">
        <v>0.0</v>
      </c>
      <c r="F176" s="8"/>
      <c r="G176" s="6">
        <f t="shared" si="3"/>
        <v>2093</v>
      </c>
      <c r="H176" s="6">
        <f t="shared" si="4"/>
        <v>17900</v>
      </c>
      <c r="I176" s="6">
        <f t="shared" si="5"/>
        <v>19457</v>
      </c>
      <c r="J176" s="6">
        <f t="shared" si="6"/>
        <v>94545</v>
      </c>
      <c r="K176" s="9"/>
      <c r="L176" s="9"/>
      <c r="M176" s="9"/>
      <c r="N176" s="9">
        <f t="shared" si="7"/>
        <v>18.58195755</v>
      </c>
      <c r="O176" s="10">
        <f t="shared" si="8"/>
        <v>72.92881032</v>
      </c>
      <c r="P176" s="9">
        <v>20.0</v>
      </c>
      <c r="Q176" s="11" t="str">
        <f t="shared" si="9"/>
        <v>cobertura correcta</v>
      </c>
      <c r="R176" s="12"/>
      <c r="S176" s="8"/>
      <c r="T176" s="12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5.75" customHeight="1">
      <c r="A177" s="5" t="s">
        <v>356</v>
      </c>
      <c r="B177" s="6" t="s">
        <v>357</v>
      </c>
      <c r="C177" s="6">
        <f t="shared" si="1"/>
        <v>1277</v>
      </c>
      <c r="D177" s="6">
        <f t="shared" si="26"/>
        <v>34</v>
      </c>
      <c r="E177" s="7">
        <v>0.0</v>
      </c>
      <c r="F177" s="8"/>
      <c r="G177" s="6">
        <f t="shared" si="3"/>
        <v>3707</v>
      </c>
      <c r="H177" s="6">
        <f t="shared" si="4"/>
        <v>13379</v>
      </c>
      <c r="I177" s="6">
        <f t="shared" si="5"/>
        <v>27620</v>
      </c>
      <c r="J177" s="6">
        <f t="shared" si="6"/>
        <v>71753</v>
      </c>
      <c r="K177" s="9"/>
      <c r="L177" s="9"/>
      <c r="M177" s="9"/>
      <c r="N177" s="9">
        <f t="shared" si="7"/>
        <v>56.18872357</v>
      </c>
      <c r="O177" s="10">
        <f t="shared" si="8"/>
        <v>10.33450229</v>
      </c>
      <c r="P177" s="9">
        <v>20.0</v>
      </c>
      <c r="Q177" s="11" t="str">
        <f t="shared" si="9"/>
        <v>¡Compra YA!</v>
      </c>
      <c r="R177" s="12"/>
      <c r="S177" s="8"/>
      <c r="T177" s="12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5.75" customHeight="1">
      <c r="A178" s="5" t="s">
        <v>358</v>
      </c>
      <c r="B178" s="6" t="s">
        <v>359</v>
      </c>
      <c r="C178" s="6">
        <f t="shared" si="1"/>
        <v>1019</v>
      </c>
      <c r="D178" s="6">
        <f t="shared" si="26"/>
        <v>312</v>
      </c>
      <c r="E178" s="7">
        <v>0.0</v>
      </c>
      <c r="F178" s="8"/>
      <c r="G178" s="6">
        <f t="shared" si="3"/>
        <v>5202</v>
      </c>
      <c r="H178" s="6">
        <f t="shared" si="4"/>
        <v>10586</v>
      </c>
      <c r="I178" s="6">
        <f t="shared" si="5"/>
        <v>27847</v>
      </c>
      <c r="J178" s="6">
        <f t="shared" si="6"/>
        <v>89311</v>
      </c>
      <c r="K178" s="9"/>
      <c r="L178" s="9"/>
      <c r="M178" s="9"/>
      <c r="N178" s="9">
        <f t="shared" si="7"/>
        <v>87.64573111</v>
      </c>
      <c r="O178" s="10">
        <f t="shared" si="8"/>
        <v>5.876585928</v>
      </c>
      <c r="P178" s="9">
        <v>20.0</v>
      </c>
      <c r="Q178" s="11" t="str">
        <f t="shared" si="9"/>
        <v>¡Compra YA!</v>
      </c>
      <c r="R178" s="12"/>
      <c r="S178" s="8"/>
      <c r="T178" s="12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5.75" customHeight="1">
      <c r="A179" s="5" t="s">
        <v>360</v>
      </c>
      <c r="B179" s="6" t="s">
        <v>361</v>
      </c>
      <c r="C179" s="6">
        <f t="shared" si="1"/>
        <v>4971</v>
      </c>
      <c r="D179" s="6">
        <f t="shared" si="26"/>
        <v>102</v>
      </c>
      <c r="E179" s="6">
        <f>RANDBETWEEN(0, 1000)</f>
        <v>191</v>
      </c>
      <c r="F179" s="8"/>
      <c r="G179" s="6">
        <f t="shared" si="3"/>
        <v>5710</v>
      </c>
      <c r="H179" s="6">
        <f t="shared" si="4"/>
        <v>12690</v>
      </c>
      <c r="I179" s="6">
        <f t="shared" si="5"/>
        <v>24879</v>
      </c>
      <c r="J179" s="6">
        <f t="shared" si="6"/>
        <v>67947</v>
      </c>
      <c r="K179" s="9"/>
      <c r="L179" s="9"/>
      <c r="M179" s="9"/>
      <c r="N179" s="9">
        <f t="shared" si="7"/>
        <v>13.66867833</v>
      </c>
      <c r="O179" s="10">
        <f t="shared" si="8"/>
        <v>26.117338</v>
      </c>
      <c r="P179" s="9">
        <v>20.0</v>
      </c>
      <c r="Q179" s="11" t="str">
        <f t="shared" si="9"/>
        <v>cobertura correcta</v>
      </c>
      <c r="R179" s="12"/>
      <c r="S179" s="8"/>
      <c r="T179" s="12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5.75" customHeight="1">
      <c r="A180" s="5" t="s">
        <v>362</v>
      </c>
      <c r="B180" s="6" t="s">
        <v>363</v>
      </c>
      <c r="C180" s="6">
        <f t="shared" si="1"/>
        <v>5210</v>
      </c>
      <c r="D180" s="6">
        <f t="shared" si="26"/>
        <v>300</v>
      </c>
      <c r="E180" s="7">
        <v>0.0</v>
      </c>
      <c r="F180" s="8"/>
      <c r="G180" s="6">
        <f t="shared" si="3"/>
        <v>1056</v>
      </c>
      <c r="H180" s="6">
        <f t="shared" si="4"/>
        <v>13856</v>
      </c>
      <c r="I180" s="6">
        <f t="shared" si="5"/>
        <v>28612</v>
      </c>
      <c r="J180" s="6">
        <f t="shared" si="6"/>
        <v>86462</v>
      </c>
      <c r="K180" s="9"/>
      <c r="L180" s="9"/>
      <c r="M180" s="9"/>
      <c r="N180" s="9">
        <f t="shared" si="7"/>
        <v>16.59539347</v>
      </c>
      <c r="O180" s="10">
        <f t="shared" si="8"/>
        <v>148.0113636</v>
      </c>
      <c r="P180" s="9">
        <v>20.0</v>
      </c>
      <c r="Q180" s="11" t="str">
        <f t="shared" si="9"/>
        <v>cobertura correcta</v>
      </c>
      <c r="R180" s="12"/>
      <c r="S180" s="8"/>
      <c r="T180" s="12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5.75" customHeight="1">
      <c r="A181" s="5" t="s">
        <v>364</v>
      </c>
      <c r="B181" s="6" t="s">
        <v>365</v>
      </c>
      <c r="C181" s="6">
        <f t="shared" si="1"/>
        <v>3889</v>
      </c>
      <c r="D181" s="6">
        <f t="shared" si="26"/>
        <v>303</v>
      </c>
      <c r="E181" s="6">
        <f>RANDBETWEEN(0, 1000)</f>
        <v>261</v>
      </c>
      <c r="F181" s="8"/>
      <c r="G181" s="6">
        <f t="shared" si="3"/>
        <v>8934</v>
      </c>
      <c r="H181" s="6">
        <f t="shared" si="4"/>
        <v>9887</v>
      </c>
      <c r="I181" s="6">
        <f t="shared" si="5"/>
        <v>22547</v>
      </c>
      <c r="J181" s="6">
        <f t="shared" si="6"/>
        <v>71263</v>
      </c>
      <c r="K181" s="9"/>
      <c r="L181" s="9"/>
      <c r="M181" s="9"/>
      <c r="N181" s="9">
        <f t="shared" si="7"/>
        <v>18.32424788</v>
      </c>
      <c r="O181" s="10">
        <f t="shared" si="8"/>
        <v>13.05910007</v>
      </c>
      <c r="P181" s="9">
        <v>20.0</v>
      </c>
      <c r="Q181" s="11" t="str">
        <f t="shared" si="9"/>
        <v>¡Compra YA!</v>
      </c>
      <c r="R181" s="12"/>
      <c r="S181" s="8"/>
      <c r="T181" s="12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5.75" customHeight="1">
      <c r="A182" s="5" t="s">
        <v>366</v>
      </c>
      <c r="B182" s="6" t="s">
        <v>367</v>
      </c>
      <c r="C182" s="6">
        <f t="shared" si="1"/>
        <v>2158</v>
      </c>
      <c r="D182" s="6">
        <f t="shared" si="26"/>
        <v>267</v>
      </c>
      <c r="E182" s="7">
        <v>0.0</v>
      </c>
      <c r="F182" s="8"/>
      <c r="G182" s="6">
        <f t="shared" si="3"/>
        <v>3882</v>
      </c>
      <c r="H182" s="6">
        <f t="shared" si="4"/>
        <v>15365</v>
      </c>
      <c r="I182" s="6">
        <f t="shared" si="5"/>
        <v>23737</v>
      </c>
      <c r="J182" s="6">
        <f t="shared" si="6"/>
        <v>60308</v>
      </c>
      <c r="K182" s="9"/>
      <c r="L182" s="9"/>
      <c r="M182" s="9"/>
      <c r="N182" s="9">
        <f t="shared" si="7"/>
        <v>27.94624652</v>
      </c>
      <c r="O182" s="10">
        <f t="shared" si="8"/>
        <v>16.67697063</v>
      </c>
      <c r="P182" s="9">
        <v>20.0</v>
      </c>
      <c r="Q182" s="11" t="str">
        <f t="shared" si="9"/>
        <v>¡Compra YA!</v>
      </c>
      <c r="R182" s="12"/>
      <c r="S182" s="8"/>
      <c r="T182" s="12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5.75" customHeight="1">
      <c r="A183" s="5" t="s">
        <v>368</v>
      </c>
      <c r="B183" s="6" t="s">
        <v>369</v>
      </c>
      <c r="C183" s="6">
        <f t="shared" si="1"/>
        <v>8348</v>
      </c>
      <c r="D183" s="6">
        <f t="shared" si="26"/>
        <v>92</v>
      </c>
      <c r="E183" s="6">
        <f>RANDBETWEEN(0, 1000)</f>
        <v>280</v>
      </c>
      <c r="F183" s="8"/>
      <c r="G183" s="6">
        <f t="shared" si="3"/>
        <v>7764</v>
      </c>
      <c r="H183" s="6">
        <f t="shared" si="4"/>
        <v>15302</v>
      </c>
      <c r="I183" s="6">
        <f t="shared" si="5"/>
        <v>24623</v>
      </c>
      <c r="J183" s="6">
        <f t="shared" si="6"/>
        <v>36557</v>
      </c>
      <c r="K183" s="9"/>
      <c r="L183" s="9"/>
      <c r="M183" s="9"/>
      <c r="N183" s="9">
        <f t="shared" si="7"/>
        <v>4.379132726</v>
      </c>
      <c r="O183" s="10">
        <f t="shared" si="8"/>
        <v>32.25656878</v>
      </c>
      <c r="P183" s="9">
        <v>20.0</v>
      </c>
      <c r="Q183" s="11" t="str">
        <f t="shared" si="9"/>
        <v>cobertura correcta</v>
      </c>
      <c r="R183" s="12"/>
      <c r="S183" s="8"/>
      <c r="T183" s="12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5.75" customHeight="1">
      <c r="A184" s="5" t="s">
        <v>370</v>
      </c>
      <c r="B184" s="6" t="s">
        <v>371</v>
      </c>
      <c r="C184" s="6">
        <f t="shared" si="1"/>
        <v>8851</v>
      </c>
      <c r="D184" s="6">
        <f t="shared" si="26"/>
        <v>285</v>
      </c>
      <c r="E184" s="7">
        <v>0.0</v>
      </c>
      <c r="F184" s="8"/>
      <c r="G184" s="6">
        <f t="shared" si="3"/>
        <v>4339</v>
      </c>
      <c r="H184" s="6">
        <f t="shared" si="4"/>
        <v>14766</v>
      </c>
      <c r="I184" s="6">
        <f t="shared" si="5"/>
        <v>24566</v>
      </c>
      <c r="J184" s="6">
        <f t="shared" si="6"/>
        <v>59080</v>
      </c>
      <c r="K184" s="9"/>
      <c r="L184" s="9"/>
      <c r="M184" s="9"/>
      <c r="N184" s="9">
        <f t="shared" si="7"/>
        <v>6.674951983</v>
      </c>
      <c r="O184" s="10">
        <f t="shared" si="8"/>
        <v>61.19612814</v>
      </c>
      <c r="P184" s="9">
        <v>20.0</v>
      </c>
      <c r="Q184" s="11" t="str">
        <f t="shared" si="9"/>
        <v>cobertura correcta</v>
      </c>
      <c r="R184" s="12"/>
      <c r="S184" s="8"/>
      <c r="T184" s="12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5.75" customHeight="1">
      <c r="A185" s="5" t="s">
        <v>372</v>
      </c>
      <c r="B185" s="6" t="s">
        <v>373</v>
      </c>
      <c r="C185" s="6">
        <f t="shared" si="1"/>
        <v>2999</v>
      </c>
      <c r="D185" s="6">
        <f t="shared" si="26"/>
        <v>146</v>
      </c>
      <c r="E185" s="7">
        <v>0.0</v>
      </c>
      <c r="F185" s="8"/>
      <c r="G185" s="6">
        <f t="shared" si="3"/>
        <v>2733</v>
      </c>
      <c r="H185" s="6">
        <f t="shared" si="4"/>
        <v>11477</v>
      </c>
      <c r="I185" s="6">
        <f t="shared" si="5"/>
        <v>26399</v>
      </c>
      <c r="J185" s="6">
        <f t="shared" si="6"/>
        <v>30919</v>
      </c>
      <c r="K185" s="9"/>
      <c r="L185" s="9"/>
      <c r="M185" s="9"/>
      <c r="N185" s="9">
        <f t="shared" si="7"/>
        <v>10.30976992</v>
      </c>
      <c r="O185" s="10">
        <f t="shared" si="8"/>
        <v>32.91986828</v>
      </c>
      <c r="P185" s="9">
        <v>20.0</v>
      </c>
      <c r="Q185" s="11" t="str">
        <f t="shared" si="9"/>
        <v>cobertura correcta</v>
      </c>
      <c r="R185" s="12"/>
      <c r="S185" s="8"/>
      <c r="T185" s="12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5.75" customHeight="1">
      <c r="A186" s="5" t="s">
        <v>374</v>
      </c>
      <c r="B186" s="6" t="s">
        <v>375</v>
      </c>
      <c r="C186" s="6">
        <f t="shared" si="1"/>
        <v>5884</v>
      </c>
      <c r="D186" s="6">
        <f t="shared" si="26"/>
        <v>41</v>
      </c>
      <c r="E186" s="6">
        <f t="shared" ref="E186:E189" si="29">RANDBETWEEN(0, 1000)</f>
        <v>198</v>
      </c>
      <c r="F186" s="8"/>
      <c r="G186" s="6">
        <f t="shared" si="3"/>
        <v>1328</v>
      </c>
      <c r="H186" s="6">
        <f t="shared" si="4"/>
        <v>12688</v>
      </c>
      <c r="I186" s="6">
        <f t="shared" si="5"/>
        <v>24704</v>
      </c>
      <c r="J186" s="6">
        <f t="shared" si="6"/>
        <v>72995</v>
      </c>
      <c r="K186" s="9"/>
      <c r="L186" s="9"/>
      <c r="M186" s="9"/>
      <c r="N186" s="9">
        <f t="shared" si="7"/>
        <v>12.40567641</v>
      </c>
      <c r="O186" s="10">
        <f t="shared" si="8"/>
        <v>132.9216867</v>
      </c>
      <c r="P186" s="9">
        <v>20.0</v>
      </c>
      <c r="Q186" s="11" t="str">
        <f t="shared" si="9"/>
        <v>cobertura correcta</v>
      </c>
      <c r="R186" s="12"/>
      <c r="S186" s="8"/>
      <c r="T186" s="12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5.75" customHeight="1">
      <c r="A187" s="5" t="s">
        <v>376</v>
      </c>
      <c r="B187" s="6" t="s">
        <v>377</v>
      </c>
      <c r="C187" s="6">
        <f t="shared" si="1"/>
        <v>8544</v>
      </c>
      <c r="D187" s="6">
        <f t="shared" si="26"/>
        <v>72</v>
      </c>
      <c r="E187" s="6">
        <f t="shared" si="29"/>
        <v>496</v>
      </c>
      <c r="F187" s="8"/>
      <c r="G187" s="6">
        <f t="shared" si="3"/>
        <v>3337</v>
      </c>
      <c r="H187" s="6">
        <f t="shared" si="4"/>
        <v>10069</v>
      </c>
      <c r="I187" s="6">
        <f t="shared" si="5"/>
        <v>24466</v>
      </c>
      <c r="J187" s="6">
        <f t="shared" si="6"/>
        <v>86787</v>
      </c>
      <c r="K187" s="9"/>
      <c r="L187" s="9"/>
      <c r="M187" s="9"/>
      <c r="N187" s="9">
        <f t="shared" si="7"/>
        <v>10.15765449</v>
      </c>
      <c r="O187" s="10">
        <f t="shared" si="8"/>
        <v>76.81150734</v>
      </c>
      <c r="P187" s="9">
        <v>20.0</v>
      </c>
      <c r="Q187" s="11" t="str">
        <f t="shared" si="9"/>
        <v>cobertura correcta</v>
      </c>
      <c r="R187" s="12"/>
      <c r="S187" s="8"/>
      <c r="T187" s="12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5.75" customHeight="1">
      <c r="A188" s="5" t="s">
        <v>378</v>
      </c>
      <c r="B188" s="6" t="s">
        <v>379</v>
      </c>
      <c r="C188" s="6">
        <f t="shared" si="1"/>
        <v>4355</v>
      </c>
      <c r="D188" s="6">
        <f t="shared" si="26"/>
        <v>153</v>
      </c>
      <c r="E188" s="6">
        <f t="shared" si="29"/>
        <v>166</v>
      </c>
      <c r="F188" s="8"/>
      <c r="G188" s="6">
        <f t="shared" si="3"/>
        <v>7585</v>
      </c>
      <c r="H188" s="6">
        <f t="shared" si="4"/>
        <v>9085</v>
      </c>
      <c r="I188" s="6">
        <f t="shared" si="5"/>
        <v>23726</v>
      </c>
      <c r="J188" s="6">
        <f t="shared" si="6"/>
        <v>82201</v>
      </c>
      <c r="K188" s="9"/>
      <c r="L188" s="9"/>
      <c r="M188" s="9"/>
      <c r="N188" s="9">
        <f t="shared" si="7"/>
        <v>18.87508611</v>
      </c>
      <c r="O188" s="10">
        <f t="shared" si="8"/>
        <v>17.22478576</v>
      </c>
      <c r="P188" s="9">
        <v>20.0</v>
      </c>
      <c r="Q188" s="11" t="str">
        <f t="shared" si="9"/>
        <v>¡Compra YA!</v>
      </c>
      <c r="R188" s="12"/>
      <c r="S188" s="8"/>
      <c r="T188" s="12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5.75" customHeight="1">
      <c r="A189" s="5" t="s">
        <v>380</v>
      </c>
      <c r="B189" s="6" t="s">
        <v>381</v>
      </c>
      <c r="C189" s="6">
        <f t="shared" si="1"/>
        <v>5900</v>
      </c>
      <c r="D189" s="6">
        <f t="shared" si="26"/>
        <v>143</v>
      </c>
      <c r="E189" s="6">
        <f t="shared" si="29"/>
        <v>526</v>
      </c>
      <c r="F189" s="8"/>
      <c r="G189" s="6">
        <f t="shared" si="3"/>
        <v>7792</v>
      </c>
      <c r="H189" s="6">
        <f t="shared" si="4"/>
        <v>9603</v>
      </c>
      <c r="I189" s="6">
        <f t="shared" si="5"/>
        <v>24859</v>
      </c>
      <c r="J189" s="6">
        <f t="shared" si="6"/>
        <v>76647</v>
      </c>
      <c r="K189" s="9"/>
      <c r="L189" s="9"/>
      <c r="M189" s="9"/>
      <c r="N189" s="9">
        <f t="shared" si="7"/>
        <v>12.99101695</v>
      </c>
      <c r="O189" s="10">
        <f t="shared" si="8"/>
        <v>22.71560575</v>
      </c>
      <c r="P189" s="9">
        <v>20.0</v>
      </c>
      <c r="Q189" s="11" t="str">
        <f t="shared" si="9"/>
        <v>cobertura correcta</v>
      </c>
      <c r="R189" s="12"/>
      <c r="S189" s="8"/>
      <c r="T189" s="12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5.75" customHeight="1">
      <c r="A190" s="5" t="s">
        <v>382</v>
      </c>
      <c r="B190" s="6" t="s">
        <v>383</v>
      </c>
      <c r="C190" s="6">
        <f t="shared" si="1"/>
        <v>6836</v>
      </c>
      <c r="D190" s="6">
        <f t="shared" si="26"/>
        <v>56</v>
      </c>
      <c r="E190" s="7">
        <v>0.0</v>
      </c>
      <c r="F190" s="8"/>
      <c r="G190" s="6">
        <f t="shared" si="3"/>
        <v>4495</v>
      </c>
      <c r="H190" s="6">
        <f t="shared" si="4"/>
        <v>12036</v>
      </c>
      <c r="I190" s="6">
        <f t="shared" si="5"/>
        <v>23360</v>
      </c>
      <c r="J190" s="6">
        <f t="shared" si="6"/>
        <v>52892</v>
      </c>
      <c r="K190" s="9"/>
      <c r="L190" s="9"/>
      <c r="M190" s="9"/>
      <c r="N190" s="9">
        <f t="shared" si="7"/>
        <v>7.737273259</v>
      </c>
      <c r="O190" s="10">
        <f t="shared" si="8"/>
        <v>45.6240267</v>
      </c>
      <c r="P190" s="9">
        <v>20.0</v>
      </c>
      <c r="Q190" s="11" t="str">
        <f t="shared" si="9"/>
        <v>cobertura correcta</v>
      </c>
      <c r="R190" s="12"/>
      <c r="S190" s="8"/>
      <c r="T190" s="12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5.75" customHeight="1">
      <c r="A191" s="5" t="s">
        <v>384</v>
      </c>
      <c r="B191" s="6" t="s">
        <v>385</v>
      </c>
      <c r="C191" s="6">
        <f t="shared" si="1"/>
        <v>6373</v>
      </c>
      <c r="D191" s="6">
        <f t="shared" si="26"/>
        <v>270</v>
      </c>
      <c r="E191" s="6">
        <f>RANDBETWEEN(0, 1000)</f>
        <v>318</v>
      </c>
      <c r="F191" s="8"/>
      <c r="G191" s="6">
        <f t="shared" si="3"/>
        <v>5162</v>
      </c>
      <c r="H191" s="6">
        <f t="shared" si="4"/>
        <v>11582</v>
      </c>
      <c r="I191" s="6">
        <f t="shared" si="5"/>
        <v>20408</v>
      </c>
      <c r="J191" s="6">
        <f t="shared" si="6"/>
        <v>34133</v>
      </c>
      <c r="K191" s="9"/>
      <c r="L191" s="9"/>
      <c r="M191" s="9"/>
      <c r="N191" s="9">
        <f t="shared" si="7"/>
        <v>5.355876353</v>
      </c>
      <c r="O191" s="10">
        <f t="shared" si="8"/>
        <v>37.03796978</v>
      </c>
      <c r="P191" s="9">
        <v>20.0</v>
      </c>
      <c r="Q191" s="11" t="str">
        <f t="shared" si="9"/>
        <v>cobertura correcta</v>
      </c>
      <c r="R191" s="12"/>
      <c r="S191" s="8"/>
      <c r="T191" s="12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5.75" customHeight="1">
      <c r="A192" s="5" t="s">
        <v>386</v>
      </c>
      <c r="B192" s="6" t="s">
        <v>387</v>
      </c>
      <c r="C192" s="6">
        <f t="shared" si="1"/>
        <v>2607</v>
      </c>
      <c r="D192" s="6">
        <f t="shared" si="26"/>
        <v>96</v>
      </c>
      <c r="E192" s="7">
        <v>0.0</v>
      </c>
      <c r="F192" s="8"/>
      <c r="G192" s="6">
        <f t="shared" si="3"/>
        <v>5322</v>
      </c>
      <c r="H192" s="6">
        <f t="shared" si="4"/>
        <v>9234</v>
      </c>
      <c r="I192" s="6">
        <f t="shared" si="5"/>
        <v>20147</v>
      </c>
      <c r="J192" s="6">
        <f t="shared" si="6"/>
        <v>40170</v>
      </c>
      <c r="K192" s="9"/>
      <c r="L192" s="9"/>
      <c r="M192" s="9"/>
      <c r="N192" s="9">
        <f t="shared" si="7"/>
        <v>15.40851554</v>
      </c>
      <c r="O192" s="10">
        <f t="shared" si="8"/>
        <v>14.69560316</v>
      </c>
      <c r="P192" s="9">
        <v>20.0</v>
      </c>
      <c r="Q192" s="11" t="str">
        <f t="shared" si="9"/>
        <v>¡Compra YA!</v>
      </c>
      <c r="R192" s="12"/>
      <c r="S192" s="8"/>
      <c r="T192" s="12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5.75" customHeight="1">
      <c r="A193" s="5" t="s">
        <v>388</v>
      </c>
      <c r="B193" s="6" t="s">
        <v>389</v>
      </c>
      <c r="C193" s="6">
        <f t="shared" si="1"/>
        <v>3528</v>
      </c>
      <c r="D193" s="6">
        <f t="shared" si="26"/>
        <v>187</v>
      </c>
      <c r="E193" s="7">
        <v>0.0</v>
      </c>
      <c r="F193" s="8"/>
      <c r="G193" s="6">
        <f t="shared" si="3"/>
        <v>5105</v>
      </c>
      <c r="H193" s="6">
        <f t="shared" si="4"/>
        <v>16892</v>
      </c>
      <c r="I193" s="6">
        <f t="shared" si="5"/>
        <v>22841</v>
      </c>
      <c r="J193" s="6">
        <f t="shared" si="6"/>
        <v>79194</v>
      </c>
      <c r="K193" s="9"/>
      <c r="L193" s="9"/>
      <c r="M193" s="9"/>
      <c r="N193" s="9">
        <f t="shared" si="7"/>
        <v>22.44727891</v>
      </c>
      <c r="O193" s="10">
        <f t="shared" si="8"/>
        <v>20.73261508</v>
      </c>
      <c r="P193" s="9">
        <v>20.0</v>
      </c>
      <c r="Q193" s="11" t="str">
        <f t="shared" si="9"/>
        <v>cobertura correcta</v>
      </c>
      <c r="R193" s="12"/>
      <c r="S193" s="8"/>
      <c r="T193" s="12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5.75" customHeight="1">
      <c r="A194" s="5" t="s">
        <v>390</v>
      </c>
      <c r="B194" s="6" t="s">
        <v>391</v>
      </c>
      <c r="C194" s="6">
        <f t="shared" si="1"/>
        <v>1125</v>
      </c>
      <c r="D194" s="6">
        <f t="shared" si="26"/>
        <v>76</v>
      </c>
      <c r="E194" s="6">
        <f>RANDBETWEEN(0, 1000)</f>
        <v>618</v>
      </c>
      <c r="F194" s="8"/>
      <c r="G194" s="6">
        <f t="shared" si="3"/>
        <v>4917</v>
      </c>
      <c r="H194" s="6">
        <f t="shared" si="4"/>
        <v>11216</v>
      </c>
      <c r="I194" s="6">
        <f t="shared" si="5"/>
        <v>22905</v>
      </c>
      <c r="J194" s="6">
        <f t="shared" si="6"/>
        <v>53445</v>
      </c>
      <c r="K194" s="9"/>
      <c r="L194" s="9"/>
      <c r="M194" s="9"/>
      <c r="N194" s="9">
        <f t="shared" si="7"/>
        <v>47.50666667</v>
      </c>
      <c r="O194" s="10">
        <f t="shared" si="8"/>
        <v>6.863941428</v>
      </c>
      <c r="P194" s="9">
        <v>20.0</v>
      </c>
      <c r="Q194" s="11" t="str">
        <f t="shared" si="9"/>
        <v>¡Compra YA!</v>
      </c>
      <c r="R194" s="12"/>
      <c r="S194" s="8"/>
      <c r="T194" s="12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5.75" customHeight="1">
      <c r="A195" s="5" t="s">
        <v>392</v>
      </c>
      <c r="B195" s="6" t="s">
        <v>393</v>
      </c>
      <c r="C195" s="6">
        <f t="shared" si="1"/>
        <v>2879</v>
      </c>
      <c r="D195" s="6">
        <f t="shared" si="26"/>
        <v>30</v>
      </c>
      <c r="E195" s="7">
        <v>0.0</v>
      </c>
      <c r="F195" s="8"/>
      <c r="G195" s="6">
        <f t="shared" si="3"/>
        <v>5696</v>
      </c>
      <c r="H195" s="6">
        <f t="shared" si="4"/>
        <v>15633</v>
      </c>
      <c r="I195" s="6">
        <f t="shared" si="5"/>
        <v>24063</v>
      </c>
      <c r="J195" s="6">
        <f t="shared" si="6"/>
        <v>52714</v>
      </c>
      <c r="K195" s="9"/>
      <c r="L195" s="9"/>
      <c r="M195" s="9"/>
      <c r="N195" s="9">
        <f t="shared" si="7"/>
        <v>18.3098298</v>
      </c>
      <c r="O195" s="10">
        <f t="shared" si="8"/>
        <v>15.16327247</v>
      </c>
      <c r="P195" s="9">
        <v>20.0</v>
      </c>
      <c r="Q195" s="11" t="str">
        <f t="shared" si="9"/>
        <v>¡Compra YA!</v>
      </c>
      <c r="R195" s="12"/>
      <c r="S195" s="8"/>
      <c r="T195" s="12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5.75" customHeight="1">
      <c r="A196" s="5" t="s">
        <v>394</v>
      </c>
      <c r="B196" s="6" t="s">
        <v>395</v>
      </c>
      <c r="C196" s="6">
        <f t="shared" si="1"/>
        <v>6126</v>
      </c>
      <c r="D196" s="6">
        <f t="shared" si="26"/>
        <v>38</v>
      </c>
      <c r="E196" s="6">
        <f t="shared" ref="E196:E199" si="30">RANDBETWEEN(0, 1000)</f>
        <v>600</v>
      </c>
      <c r="F196" s="8"/>
      <c r="G196" s="6">
        <f t="shared" si="3"/>
        <v>8573</v>
      </c>
      <c r="H196" s="6">
        <f t="shared" si="4"/>
        <v>16724</v>
      </c>
      <c r="I196" s="6">
        <f t="shared" si="5"/>
        <v>25325</v>
      </c>
      <c r="J196" s="6">
        <f t="shared" si="6"/>
        <v>81850</v>
      </c>
      <c r="K196" s="9"/>
      <c r="L196" s="9"/>
      <c r="M196" s="9"/>
      <c r="N196" s="9">
        <f t="shared" si="7"/>
        <v>13.3610839</v>
      </c>
      <c r="O196" s="10">
        <f t="shared" si="8"/>
        <v>21.43706987</v>
      </c>
      <c r="P196" s="9">
        <v>20.0</v>
      </c>
      <c r="Q196" s="11" t="str">
        <f t="shared" si="9"/>
        <v>cobertura correcta</v>
      </c>
      <c r="R196" s="12"/>
      <c r="S196" s="8"/>
      <c r="T196" s="12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5.75" customHeight="1">
      <c r="A197" s="5" t="s">
        <v>396</v>
      </c>
      <c r="B197" s="6" t="s">
        <v>397</v>
      </c>
      <c r="C197" s="6">
        <f t="shared" si="1"/>
        <v>5815</v>
      </c>
      <c r="D197" s="6">
        <f t="shared" si="26"/>
        <v>53</v>
      </c>
      <c r="E197" s="6">
        <f t="shared" si="30"/>
        <v>661</v>
      </c>
      <c r="F197" s="8"/>
      <c r="G197" s="6">
        <f t="shared" si="3"/>
        <v>5289</v>
      </c>
      <c r="H197" s="6">
        <f t="shared" si="4"/>
        <v>16654</v>
      </c>
      <c r="I197" s="6">
        <f t="shared" si="5"/>
        <v>26900</v>
      </c>
      <c r="J197" s="6">
        <f t="shared" si="6"/>
        <v>84094</v>
      </c>
      <c r="K197" s="9"/>
      <c r="L197" s="9"/>
      <c r="M197" s="9"/>
      <c r="N197" s="9">
        <f t="shared" si="7"/>
        <v>14.46156492</v>
      </c>
      <c r="O197" s="10">
        <f t="shared" si="8"/>
        <v>32.98355077</v>
      </c>
      <c r="P197" s="9">
        <v>20.0</v>
      </c>
      <c r="Q197" s="11" t="str">
        <f t="shared" si="9"/>
        <v>cobertura correcta</v>
      </c>
      <c r="R197" s="12"/>
      <c r="S197" s="8"/>
      <c r="T197" s="12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5.75" customHeight="1">
      <c r="A198" s="5" t="s">
        <v>398</v>
      </c>
      <c r="B198" s="6" t="s">
        <v>399</v>
      </c>
      <c r="C198" s="6">
        <f t="shared" si="1"/>
        <v>3618</v>
      </c>
      <c r="D198" s="6">
        <f t="shared" si="26"/>
        <v>6</v>
      </c>
      <c r="E198" s="6">
        <f t="shared" si="30"/>
        <v>501</v>
      </c>
      <c r="F198" s="8"/>
      <c r="G198" s="6">
        <f t="shared" si="3"/>
        <v>2767</v>
      </c>
      <c r="H198" s="6">
        <f t="shared" si="4"/>
        <v>16260</v>
      </c>
      <c r="I198" s="6">
        <f t="shared" si="5"/>
        <v>26297</v>
      </c>
      <c r="J198" s="6">
        <f t="shared" si="6"/>
        <v>63729</v>
      </c>
      <c r="K198" s="9"/>
      <c r="L198" s="9"/>
      <c r="M198" s="9"/>
      <c r="N198" s="9">
        <f t="shared" si="7"/>
        <v>17.61442786</v>
      </c>
      <c r="O198" s="10">
        <f t="shared" si="8"/>
        <v>39.2265992</v>
      </c>
      <c r="P198" s="9">
        <v>20.0</v>
      </c>
      <c r="Q198" s="11" t="str">
        <f t="shared" si="9"/>
        <v>cobertura correcta</v>
      </c>
      <c r="R198" s="12"/>
      <c r="S198" s="8"/>
      <c r="T198" s="12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5.75" customHeight="1">
      <c r="A199" s="5" t="s">
        <v>400</v>
      </c>
      <c r="B199" s="6" t="s">
        <v>401</v>
      </c>
      <c r="C199" s="6">
        <f t="shared" si="1"/>
        <v>6343</v>
      </c>
      <c r="D199" s="6">
        <f t="shared" si="26"/>
        <v>316</v>
      </c>
      <c r="E199" s="6">
        <f t="shared" si="30"/>
        <v>785</v>
      </c>
      <c r="F199" s="8"/>
      <c r="G199" s="6">
        <f t="shared" si="3"/>
        <v>7584</v>
      </c>
      <c r="H199" s="6">
        <f t="shared" si="4"/>
        <v>15520</v>
      </c>
      <c r="I199" s="6">
        <f t="shared" si="5"/>
        <v>19263</v>
      </c>
      <c r="J199" s="6">
        <f t="shared" si="6"/>
        <v>71104</v>
      </c>
      <c r="K199" s="9"/>
      <c r="L199" s="9"/>
      <c r="M199" s="9"/>
      <c r="N199" s="9">
        <f t="shared" si="7"/>
        <v>11.20983762</v>
      </c>
      <c r="O199" s="10">
        <f t="shared" si="8"/>
        <v>25.09098101</v>
      </c>
      <c r="P199" s="9">
        <v>20.0</v>
      </c>
      <c r="Q199" s="11" t="str">
        <f t="shared" si="9"/>
        <v>cobertura correcta</v>
      </c>
      <c r="R199" s="12"/>
      <c r="S199" s="8"/>
      <c r="T199" s="12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5.75" customHeight="1">
      <c r="A200" s="5" t="s">
        <v>402</v>
      </c>
      <c r="B200" s="6" t="s">
        <v>403</v>
      </c>
      <c r="C200" s="6">
        <f t="shared" si="1"/>
        <v>4258</v>
      </c>
      <c r="D200" s="6">
        <f t="shared" si="26"/>
        <v>319</v>
      </c>
      <c r="E200" s="7">
        <v>0.0</v>
      </c>
      <c r="F200" s="8"/>
      <c r="G200" s="6">
        <f t="shared" si="3"/>
        <v>1872</v>
      </c>
      <c r="H200" s="6">
        <f t="shared" si="4"/>
        <v>12854</v>
      </c>
      <c r="I200" s="6">
        <f t="shared" si="5"/>
        <v>25181</v>
      </c>
      <c r="J200" s="6">
        <f t="shared" si="6"/>
        <v>96724</v>
      </c>
      <c r="K200" s="9"/>
      <c r="L200" s="9"/>
      <c r="M200" s="9"/>
      <c r="N200" s="9">
        <f t="shared" si="7"/>
        <v>22.71582903</v>
      </c>
      <c r="O200" s="10">
        <f t="shared" si="8"/>
        <v>68.23717949</v>
      </c>
      <c r="P200" s="9">
        <v>20.0</v>
      </c>
      <c r="Q200" s="11" t="str">
        <f t="shared" si="9"/>
        <v>cobertura correcta</v>
      </c>
      <c r="R200" s="12"/>
      <c r="S200" s="8"/>
      <c r="T200" s="12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5.75" customHeight="1">
      <c r="A201" s="5" t="s">
        <v>404</v>
      </c>
      <c r="B201" s="6" t="s">
        <v>405</v>
      </c>
      <c r="C201" s="6">
        <f t="shared" si="1"/>
        <v>8148</v>
      </c>
      <c r="D201" s="6">
        <f t="shared" si="26"/>
        <v>123</v>
      </c>
      <c r="E201" s="6">
        <f t="shared" ref="E201:E203" si="31">RANDBETWEEN(0, 1000)</f>
        <v>483</v>
      </c>
      <c r="F201" s="8"/>
      <c r="G201" s="6">
        <f t="shared" si="3"/>
        <v>8355</v>
      </c>
      <c r="H201" s="6">
        <f t="shared" si="4"/>
        <v>13279</v>
      </c>
      <c r="I201" s="6">
        <f t="shared" si="5"/>
        <v>28778</v>
      </c>
      <c r="J201" s="6">
        <f t="shared" si="6"/>
        <v>61360</v>
      </c>
      <c r="K201" s="9"/>
      <c r="L201" s="9"/>
      <c r="M201" s="9"/>
      <c r="N201" s="9">
        <f t="shared" si="7"/>
        <v>7.530682376</v>
      </c>
      <c r="O201" s="10">
        <f t="shared" si="8"/>
        <v>29.2567325</v>
      </c>
      <c r="P201" s="9">
        <v>20.0</v>
      </c>
      <c r="Q201" s="11" t="str">
        <f t="shared" si="9"/>
        <v>cobertura correcta</v>
      </c>
      <c r="R201" s="12"/>
      <c r="S201" s="8"/>
      <c r="T201" s="12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5.75" customHeight="1">
      <c r="A202" s="5" t="s">
        <v>406</v>
      </c>
      <c r="B202" s="6" t="s">
        <v>407</v>
      </c>
      <c r="C202" s="6">
        <f t="shared" si="1"/>
        <v>5100</v>
      </c>
      <c r="D202" s="6">
        <f t="shared" si="26"/>
        <v>24</v>
      </c>
      <c r="E202" s="6">
        <f t="shared" si="31"/>
        <v>116</v>
      </c>
      <c r="F202" s="8"/>
      <c r="G202" s="6">
        <f t="shared" si="3"/>
        <v>2568</v>
      </c>
      <c r="H202" s="6">
        <f t="shared" si="4"/>
        <v>18166</v>
      </c>
      <c r="I202" s="6">
        <f t="shared" si="5"/>
        <v>20579</v>
      </c>
      <c r="J202" s="6">
        <f t="shared" si="6"/>
        <v>42356</v>
      </c>
      <c r="K202" s="9"/>
      <c r="L202" s="9"/>
      <c r="M202" s="9"/>
      <c r="N202" s="9">
        <f t="shared" si="7"/>
        <v>8.305098039</v>
      </c>
      <c r="O202" s="10">
        <f t="shared" si="8"/>
        <v>59.57943925</v>
      </c>
      <c r="P202" s="9">
        <v>20.0</v>
      </c>
      <c r="Q202" s="11" t="str">
        <f t="shared" si="9"/>
        <v>cobertura correcta</v>
      </c>
      <c r="R202" s="12"/>
      <c r="S202" s="8"/>
      <c r="T202" s="12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5.75" customHeight="1">
      <c r="A203" s="5" t="s">
        <v>408</v>
      </c>
      <c r="B203" s="6" t="s">
        <v>409</v>
      </c>
      <c r="C203" s="6">
        <f t="shared" si="1"/>
        <v>4259</v>
      </c>
      <c r="D203" s="6">
        <f t="shared" si="26"/>
        <v>83</v>
      </c>
      <c r="E203" s="6">
        <f t="shared" si="31"/>
        <v>364</v>
      </c>
      <c r="F203" s="8"/>
      <c r="G203" s="6">
        <f t="shared" si="3"/>
        <v>8239</v>
      </c>
      <c r="H203" s="6">
        <f t="shared" si="4"/>
        <v>12021</v>
      </c>
      <c r="I203" s="6">
        <f t="shared" si="5"/>
        <v>22296</v>
      </c>
      <c r="J203" s="6">
        <f t="shared" si="6"/>
        <v>82260</v>
      </c>
      <c r="K203" s="9"/>
      <c r="L203" s="9"/>
      <c r="M203" s="9"/>
      <c r="N203" s="9">
        <f t="shared" si="7"/>
        <v>19.31439305</v>
      </c>
      <c r="O203" s="10">
        <f t="shared" si="8"/>
        <v>15.50794999</v>
      </c>
      <c r="P203" s="9">
        <v>20.0</v>
      </c>
      <c r="Q203" s="11" t="str">
        <f t="shared" si="9"/>
        <v>¡Compra YA!</v>
      </c>
      <c r="R203" s="12"/>
      <c r="S203" s="8"/>
      <c r="T203" s="12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5.75" customHeight="1">
      <c r="A204" s="5" t="s">
        <v>410</v>
      </c>
      <c r="B204" s="6" t="s">
        <v>411</v>
      </c>
      <c r="C204" s="6">
        <f t="shared" si="1"/>
        <v>8922</v>
      </c>
      <c r="D204" s="6">
        <f t="shared" si="26"/>
        <v>273</v>
      </c>
      <c r="E204" s="7">
        <v>0.0</v>
      </c>
      <c r="F204" s="8"/>
      <c r="G204" s="6">
        <f t="shared" si="3"/>
        <v>4694</v>
      </c>
      <c r="H204" s="6">
        <f t="shared" si="4"/>
        <v>14317</v>
      </c>
      <c r="I204" s="6">
        <f t="shared" si="5"/>
        <v>27724</v>
      </c>
      <c r="J204" s="6">
        <f t="shared" si="6"/>
        <v>85530</v>
      </c>
      <c r="K204" s="9"/>
      <c r="L204" s="9"/>
      <c r="M204" s="9"/>
      <c r="N204" s="9">
        <f t="shared" si="7"/>
        <v>9.586415602</v>
      </c>
      <c r="O204" s="10">
        <f t="shared" si="8"/>
        <v>57.02172987</v>
      </c>
      <c r="P204" s="9">
        <v>15.0</v>
      </c>
      <c r="Q204" s="11" t="str">
        <f t="shared" si="9"/>
        <v>cobertura correcta</v>
      </c>
      <c r="R204" s="12"/>
      <c r="S204" s="8"/>
      <c r="T204" s="12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5.75" customHeight="1">
      <c r="A205" s="5" t="s">
        <v>412</v>
      </c>
      <c r="B205" s="6" t="s">
        <v>413</v>
      </c>
      <c r="C205" s="6">
        <f t="shared" si="1"/>
        <v>4549</v>
      </c>
      <c r="D205" s="6">
        <f t="shared" si="26"/>
        <v>305</v>
      </c>
      <c r="E205" s="6">
        <f>RANDBETWEEN(0, 1000)</f>
        <v>743</v>
      </c>
      <c r="F205" s="8"/>
      <c r="G205" s="6">
        <f t="shared" si="3"/>
        <v>8142</v>
      </c>
      <c r="H205" s="6">
        <f t="shared" si="4"/>
        <v>15290</v>
      </c>
      <c r="I205" s="6">
        <f t="shared" si="5"/>
        <v>27140</v>
      </c>
      <c r="J205" s="6">
        <f t="shared" si="6"/>
        <v>98582</v>
      </c>
      <c r="K205" s="9"/>
      <c r="L205" s="9"/>
      <c r="M205" s="9"/>
      <c r="N205" s="9">
        <f t="shared" si="7"/>
        <v>21.67113651</v>
      </c>
      <c r="O205" s="10">
        <f t="shared" si="8"/>
        <v>16.76123803</v>
      </c>
      <c r="P205" s="9">
        <v>15.0</v>
      </c>
      <c r="Q205" s="11" t="str">
        <f t="shared" si="9"/>
        <v>cobertura correcta</v>
      </c>
      <c r="R205" s="12"/>
      <c r="S205" s="8"/>
      <c r="T205" s="12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5.75" customHeight="1">
      <c r="A206" s="5" t="s">
        <v>414</v>
      </c>
      <c r="B206" s="6" t="s">
        <v>415</v>
      </c>
      <c r="C206" s="6">
        <f t="shared" si="1"/>
        <v>5194</v>
      </c>
      <c r="D206" s="6">
        <f t="shared" si="26"/>
        <v>343</v>
      </c>
      <c r="E206" s="7">
        <v>0.0</v>
      </c>
      <c r="F206" s="8"/>
      <c r="G206" s="6">
        <f t="shared" si="3"/>
        <v>3942</v>
      </c>
      <c r="H206" s="6">
        <f t="shared" si="4"/>
        <v>15219</v>
      </c>
      <c r="I206" s="6">
        <f t="shared" si="5"/>
        <v>27301</v>
      </c>
      <c r="J206" s="6">
        <f t="shared" si="6"/>
        <v>82574</v>
      </c>
      <c r="K206" s="9"/>
      <c r="L206" s="9"/>
      <c r="M206" s="9"/>
      <c r="N206" s="9">
        <f t="shared" si="7"/>
        <v>15.89795918</v>
      </c>
      <c r="O206" s="10">
        <f t="shared" si="8"/>
        <v>39.5281583</v>
      </c>
      <c r="P206" s="9">
        <v>15.0</v>
      </c>
      <c r="Q206" s="11" t="str">
        <f t="shared" si="9"/>
        <v>cobertura correcta</v>
      </c>
      <c r="R206" s="12"/>
      <c r="S206" s="8"/>
      <c r="T206" s="12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5.75" customHeight="1">
      <c r="A207" s="5" t="s">
        <v>416</v>
      </c>
      <c r="B207" s="6" t="s">
        <v>417</v>
      </c>
      <c r="C207" s="6">
        <f t="shared" si="1"/>
        <v>7612</v>
      </c>
      <c r="D207" s="6">
        <f t="shared" si="26"/>
        <v>276</v>
      </c>
      <c r="E207" s="6">
        <f t="shared" ref="E207:E217" si="32">RANDBETWEEN(0, 1000)</f>
        <v>36</v>
      </c>
      <c r="F207" s="8"/>
      <c r="G207" s="6">
        <f t="shared" si="3"/>
        <v>4180</v>
      </c>
      <c r="H207" s="6">
        <f t="shared" si="4"/>
        <v>12383</v>
      </c>
      <c r="I207" s="6">
        <f t="shared" si="5"/>
        <v>27165</v>
      </c>
      <c r="J207" s="6">
        <f t="shared" si="6"/>
        <v>53413</v>
      </c>
      <c r="K207" s="9"/>
      <c r="L207" s="9"/>
      <c r="M207" s="9"/>
      <c r="N207" s="9">
        <f t="shared" si="7"/>
        <v>7.016946926</v>
      </c>
      <c r="O207" s="10">
        <f t="shared" si="8"/>
        <v>54.63157895</v>
      </c>
      <c r="P207" s="9">
        <v>15.0</v>
      </c>
      <c r="Q207" s="11" t="str">
        <f t="shared" si="9"/>
        <v>cobertura correcta</v>
      </c>
      <c r="R207" s="12"/>
      <c r="S207" s="8"/>
      <c r="T207" s="12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5.75" customHeight="1">
      <c r="A208" s="5" t="s">
        <v>418</v>
      </c>
      <c r="B208" s="6" t="s">
        <v>419</v>
      </c>
      <c r="C208" s="6">
        <f t="shared" si="1"/>
        <v>6008</v>
      </c>
      <c r="D208" s="6">
        <f t="shared" si="26"/>
        <v>165</v>
      </c>
      <c r="E208" s="6">
        <f t="shared" si="32"/>
        <v>589</v>
      </c>
      <c r="F208" s="8"/>
      <c r="G208" s="6">
        <f t="shared" si="3"/>
        <v>8336</v>
      </c>
      <c r="H208" s="6">
        <f t="shared" si="4"/>
        <v>16656</v>
      </c>
      <c r="I208" s="6">
        <f t="shared" si="5"/>
        <v>22620</v>
      </c>
      <c r="J208" s="6">
        <f t="shared" si="6"/>
        <v>39099</v>
      </c>
      <c r="K208" s="9"/>
      <c r="L208" s="9"/>
      <c r="M208" s="9"/>
      <c r="N208" s="9">
        <f t="shared" si="7"/>
        <v>6.507822903</v>
      </c>
      <c r="O208" s="10">
        <f t="shared" si="8"/>
        <v>21.621881</v>
      </c>
      <c r="P208" s="9">
        <v>15.0</v>
      </c>
      <c r="Q208" s="11" t="str">
        <f t="shared" si="9"/>
        <v>cobertura correcta</v>
      </c>
      <c r="R208" s="12"/>
      <c r="S208" s="8"/>
      <c r="T208" s="12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5.75" customHeight="1">
      <c r="A209" s="5" t="s">
        <v>420</v>
      </c>
      <c r="B209" s="6" t="s">
        <v>421</v>
      </c>
      <c r="C209" s="6">
        <f t="shared" si="1"/>
        <v>8946</v>
      </c>
      <c r="D209" s="6">
        <f t="shared" si="26"/>
        <v>128</v>
      </c>
      <c r="E209" s="6">
        <f t="shared" si="32"/>
        <v>203</v>
      </c>
      <c r="F209" s="8"/>
      <c r="G209" s="6">
        <f t="shared" si="3"/>
        <v>2292</v>
      </c>
      <c r="H209" s="6">
        <f t="shared" si="4"/>
        <v>10353</v>
      </c>
      <c r="I209" s="6">
        <f t="shared" si="5"/>
        <v>26794</v>
      </c>
      <c r="J209" s="6">
        <f t="shared" si="6"/>
        <v>96977</v>
      </c>
      <c r="K209" s="9"/>
      <c r="L209" s="9"/>
      <c r="M209" s="9"/>
      <c r="N209" s="9">
        <f t="shared" si="7"/>
        <v>10.84026381</v>
      </c>
      <c r="O209" s="10">
        <f t="shared" si="8"/>
        <v>117.0942408</v>
      </c>
      <c r="P209" s="9">
        <v>15.0</v>
      </c>
      <c r="Q209" s="11" t="str">
        <f t="shared" si="9"/>
        <v>cobertura correcta</v>
      </c>
      <c r="R209" s="12"/>
      <c r="S209" s="8"/>
      <c r="T209" s="12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5.75" customHeight="1">
      <c r="A210" s="5" t="s">
        <v>422</v>
      </c>
      <c r="B210" s="6" t="s">
        <v>423</v>
      </c>
      <c r="C210" s="6">
        <f t="shared" si="1"/>
        <v>6213</v>
      </c>
      <c r="D210" s="6">
        <f t="shared" si="26"/>
        <v>218</v>
      </c>
      <c r="E210" s="6">
        <f t="shared" si="32"/>
        <v>620</v>
      </c>
      <c r="F210" s="8"/>
      <c r="G210" s="6">
        <f t="shared" si="3"/>
        <v>8493</v>
      </c>
      <c r="H210" s="6">
        <f t="shared" si="4"/>
        <v>9108</v>
      </c>
      <c r="I210" s="6">
        <f t="shared" si="5"/>
        <v>19713</v>
      </c>
      <c r="J210" s="6">
        <f t="shared" si="6"/>
        <v>76812</v>
      </c>
      <c r="K210" s="9"/>
      <c r="L210" s="9"/>
      <c r="M210" s="9"/>
      <c r="N210" s="9">
        <f t="shared" si="7"/>
        <v>12.36310961</v>
      </c>
      <c r="O210" s="10">
        <f t="shared" si="8"/>
        <v>21.94630872</v>
      </c>
      <c r="P210" s="9">
        <v>15.0</v>
      </c>
      <c r="Q210" s="11" t="str">
        <f t="shared" si="9"/>
        <v>cobertura correcta</v>
      </c>
      <c r="R210" s="12"/>
      <c r="S210" s="8"/>
      <c r="T210" s="12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5.75" customHeight="1">
      <c r="A211" s="5" t="s">
        <v>424</v>
      </c>
      <c r="B211" s="6" t="s">
        <v>425</v>
      </c>
      <c r="C211" s="6">
        <f t="shared" si="1"/>
        <v>2129</v>
      </c>
      <c r="D211" s="6">
        <f t="shared" si="26"/>
        <v>291</v>
      </c>
      <c r="E211" s="6">
        <f t="shared" si="32"/>
        <v>809</v>
      </c>
      <c r="F211" s="8"/>
      <c r="G211" s="6">
        <f t="shared" si="3"/>
        <v>6033</v>
      </c>
      <c r="H211" s="6">
        <f t="shared" si="4"/>
        <v>18173</v>
      </c>
      <c r="I211" s="6">
        <f t="shared" si="5"/>
        <v>22824</v>
      </c>
      <c r="J211" s="6">
        <f t="shared" si="6"/>
        <v>44392</v>
      </c>
      <c r="K211" s="9"/>
      <c r="L211" s="9"/>
      <c r="M211" s="9"/>
      <c r="N211" s="9">
        <f t="shared" si="7"/>
        <v>20.8511038</v>
      </c>
      <c r="O211" s="10">
        <f t="shared" si="8"/>
        <v>10.58677275</v>
      </c>
      <c r="P211" s="9">
        <v>15.0</v>
      </c>
      <c r="Q211" s="11" t="str">
        <f t="shared" si="9"/>
        <v>¡Compra YA!</v>
      </c>
      <c r="R211" s="12"/>
      <c r="S211" s="8"/>
      <c r="T211" s="12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5.75" customHeight="1">
      <c r="A212" s="5" t="s">
        <v>426</v>
      </c>
      <c r="B212" s="6" t="s">
        <v>427</v>
      </c>
      <c r="C212" s="6">
        <f t="shared" si="1"/>
        <v>1485</v>
      </c>
      <c r="D212" s="6">
        <f t="shared" si="26"/>
        <v>281</v>
      </c>
      <c r="E212" s="6">
        <f t="shared" si="32"/>
        <v>864</v>
      </c>
      <c r="F212" s="8"/>
      <c r="G212" s="6">
        <f t="shared" si="3"/>
        <v>6733</v>
      </c>
      <c r="H212" s="6">
        <f t="shared" si="4"/>
        <v>16267</v>
      </c>
      <c r="I212" s="6">
        <f t="shared" si="5"/>
        <v>28260</v>
      </c>
      <c r="J212" s="6">
        <f t="shared" si="6"/>
        <v>67886</v>
      </c>
      <c r="K212" s="9"/>
      <c r="L212" s="9"/>
      <c r="M212" s="9"/>
      <c r="N212" s="9">
        <f t="shared" si="7"/>
        <v>45.71447811</v>
      </c>
      <c r="O212" s="10">
        <f t="shared" si="8"/>
        <v>6.616664191</v>
      </c>
      <c r="P212" s="9">
        <v>15.0</v>
      </c>
      <c r="Q212" s="11" t="str">
        <f t="shared" si="9"/>
        <v>¡Compra YA!</v>
      </c>
      <c r="R212" s="12"/>
      <c r="S212" s="8"/>
      <c r="T212" s="12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5.75" customHeight="1">
      <c r="A213" s="5" t="s">
        <v>428</v>
      </c>
      <c r="B213" s="6" t="s">
        <v>429</v>
      </c>
      <c r="C213" s="6">
        <f t="shared" si="1"/>
        <v>8849</v>
      </c>
      <c r="D213" s="6">
        <f t="shared" si="26"/>
        <v>224</v>
      </c>
      <c r="E213" s="6">
        <f t="shared" si="32"/>
        <v>527</v>
      </c>
      <c r="F213" s="8"/>
      <c r="G213" s="6">
        <f t="shared" si="3"/>
        <v>8533</v>
      </c>
      <c r="H213" s="6">
        <f t="shared" si="4"/>
        <v>15560</v>
      </c>
      <c r="I213" s="6">
        <f t="shared" si="5"/>
        <v>25972</v>
      </c>
      <c r="J213" s="6">
        <f t="shared" si="6"/>
        <v>36782</v>
      </c>
      <c r="K213" s="9"/>
      <c r="L213" s="9"/>
      <c r="M213" s="9"/>
      <c r="N213" s="9">
        <f t="shared" si="7"/>
        <v>4.156627868</v>
      </c>
      <c r="O213" s="10">
        <f t="shared" si="8"/>
        <v>31.1109809</v>
      </c>
      <c r="P213" s="9">
        <v>15.0</v>
      </c>
      <c r="Q213" s="11" t="str">
        <f t="shared" si="9"/>
        <v>cobertura correcta</v>
      </c>
      <c r="R213" s="12"/>
      <c r="S213" s="8"/>
      <c r="T213" s="12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5.75" customHeight="1">
      <c r="A214" s="5" t="s">
        <v>430</v>
      </c>
      <c r="B214" s="6" t="s">
        <v>431</v>
      </c>
      <c r="C214" s="6">
        <f t="shared" si="1"/>
        <v>1638</v>
      </c>
      <c r="D214" s="6">
        <f t="shared" si="26"/>
        <v>202</v>
      </c>
      <c r="E214" s="6">
        <f t="shared" si="32"/>
        <v>204</v>
      </c>
      <c r="F214" s="8"/>
      <c r="G214" s="6">
        <f t="shared" si="3"/>
        <v>2900</v>
      </c>
      <c r="H214" s="6">
        <f t="shared" si="4"/>
        <v>11488</v>
      </c>
      <c r="I214" s="6">
        <f t="shared" si="5"/>
        <v>28879</v>
      </c>
      <c r="J214" s="6">
        <f t="shared" si="6"/>
        <v>50751</v>
      </c>
      <c r="K214" s="9"/>
      <c r="L214" s="9"/>
      <c r="M214" s="9"/>
      <c r="N214" s="9">
        <f t="shared" si="7"/>
        <v>30.98351648</v>
      </c>
      <c r="O214" s="10">
        <f t="shared" si="8"/>
        <v>16.94482759</v>
      </c>
      <c r="P214" s="9">
        <v>15.0</v>
      </c>
      <c r="Q214" s="11" t="str">
        <f t="shared" si="9"/>
        <v>cobertura correcta</v>
      </c>
      <c r="R214" s="12"/>
      <c r="S214" s="8"/>
      <c r="T214" s="12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5.75" customHeight="1">
      <c r="A215" s="5" t="s">
        <v>432</v>
      </c>
      <c r="B215" s="6" t="s">
        <v>433</v>
      </c>
      <c r="C215" s="6">
        <f t="shared" si="1"/>
        <v>1818</v>
      </c>
      <c r="D215" s="6">
        <f t="shared" si="26"/>
        <v>176</v>
      </c>
      <c r="E215" s="6">
        <f t="shared" si="32"/>
        <v>865</v>
      </c>
      <c r="F215" s="8"/>
      <c r="G215" s="6">
        <f t="shared" si="3"/>
        <v>3650</v>
      </c>
      <c r="H215" s="6">
        <f t="shared" si="4"/>
        <v>17917</v>
      </c>
      <c r="I215" s="6">
        <f t="shared" si="5"/>
        <v>28904</v>
      </c>
      <c r="J215" s="6">
        <f t="shared" si="6"/>
        <v>31418</v>
      </c>
      <c r="K215" s="9"/>
      <c r="L215" s="9"/>
      <c r="M215" s="9"/>
      <c r="N215" s="9">
        <f t="shared" si="7"/>
        <v>17.28162816</v>
      </c>
      <c r="O215" s="10">
        <f t="shared" si="8"/>
        <v>14.94246575</v>
      </c>
      <c r="P215" s="9">
        <v>15.0</v>
      </c>
      <c r="Q215" s="11" t="str">
        <f t="shared" si="9"/>
        <v>¡Compra YA!</v>
      </c>
      <c r="R215" s="12"/>
      <c r="S215" s="8"/>
      <c r="T215" s="12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5.75" customHeight="1">
      <c r="A216" s="5" t="s">
        <v>434</v>
      </c>
      <c r="B216" s="6" t="s">
        <v>435</v>
      </c>
      <c r="C216" s="6">
        <f t="shared" si="1"/>
        <v>8393</v>
      </c>
      <c r="D216" s="6">
        <f t="shared" si="26"/>
        <v>313</v>
      </c>
      <c r="E216" s="6">
        <f t="shared" si="32"/>
        <v>735</v>
      </c>
      <c r="F216" s="8"/>
      <c r="G216" s="6">
        <f t="shared" si="3"/>
        <v>4218</v>
      </c>
      <c r="H216" s="6">
        <f t="shared" si="4"/>
        <v>13386</v>
      </c>
      <c r="I216" s="6">
        <f t="shared" si="5"/>
        <v>22806</v>
      </c>
      <c r="J216" s="6">
        <f t="shared" si="6"/>
        <v>76878</v>
      </c>
      <c r="K216" s="9"/>
      <c r="L216" s="9"/>
      <c r="M216" s="9"/>
      <c r="N216" s="9">
        <f t="shared" si="7"/>
        <v>9.159776004</v>
      </c>
      <c r="O216" s="10">
        <f t="shared" si="8"/>
        <v>59.69416785</v>
      </c>
      <c r="P216" s="9">
        <v>15.0</v>
      </c>
      <c r="Q216" s="11" t="str">
        <f t="shared" si="9"/>
        <v>cobertura correcta</v>
      </c>
      <c r="R216" s="12"/>
      <c r="S216" s="8"/>
      <c r="T216" s="12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5.75" customHeight="1">
      <c r="A217" s="5" t="s">
        <v>436</v>
      </c>
      <c r="B217" s="6" t="s">
        <v>437</v>
      </c>
      <c r="C217" s="6">
        <f t="shared" si="1"/>
        <v>7990</v>
      </c>
      <c r="D217" s="6">
        <f t="shared" si="26"/>
        <v>322</v>
      </c>
      <c r="E217" s="6">
        <f t="shared" si="32"/>
        <v>48</v>
      </c>
      <c r="F217" s="8"/>
      <c r="G217" s="6">
        <f t="shared" si="3"/>
        <v>3213</v>
      </c>
      <c r="H217" s="6">
        <f t="shared" si="4"/>
        <v>16871</v>
      </c>
      <c r="I217" s="6">
        <f t="shared" si="5"/>
        <v>22646</v>
      </c>
      <c r="J217" s="6">
        <f t="shared" si="6"/>
        <v>46133</v>
      </c>
      <c r="K217" s="9"/>
      <c r="L217" s="9"/>
      <c r="M217" s="9"/>
      <c r="N217" s="9">
        <f t="shared" si="7"/>
        <v>5.773842303</v>
      </c>
      <c r="O217" s="10">
        <f t="shared" si="8"/>
        <v>74.6031746</v>
      </c>
      <c r="P217" s="9">
        <v>15.0</v>
      </c>
      <c r="Q217" s="11" t="str">
        <f t="shared" si="9"/>
        <v>cobertura correcta</v>
      </c>
      <c r="R217" s="12"/>
      <c r="S217" s="8"/>
      <c r="T217" s="12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5.75" customHeight="1">
      <c r="A218" s="5" t="s">
        <v>438</v>
      </c>
      <c r="B218" s="6" t="s">
        <v>439</v>
      </c>
      <c r="C218" s="6">
        <f t="shared" si="1"/>
        <v>4722</v>
      </c>
      <c r="D218" s="6">
        <f t="shared" si="26"/>
        <v>71</v>
      </c>
      <c r="E218" s="7">
        <v>0.0</v>
      </c>
      <c r="F218" s="8"/>
      <c r="G218" s="6">
        <f t="shared" si="3"/>
        <v>6549</v>
      </c>
      <c r="H218" s="6">
        <f t="shared" si="4"/>
        <v>15224</v>
      </c>
      <c r="I218" s="6">
        <f t="shared" si="5"/>
        <v>23694</v>
      </c>
      <c r="J218" s="6">
        <f t="shared" si="6"/>
        <v>37091</v>
      </c>
      <c r="K218" s="9"/>
      <c r="L218" s="9"/>
      <c r="M218" s="9"/>
      <c r="N218" s="9">
        <f t="shared" si="7"/>
        <v>7.85493435</v>
      </c>
      <c r="O218" s="10">
        <f t="shared" si="8"/>
        <v>21.63078333</v>
      </c>
      <c r="P218" s="9">
        <v>15.0</v>
      </c>
      <c r="Q218" s="11" t="str">
        <f t="shared" si="9"/>
        <v>cobertura correcta</v>
      </c>
      <c r="R218" s="12"/>
      <c r="S218" s="8"/>
      <c r="T218" s="12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5.75" customHeight="1">
      <c r="A219" s="5" t="s">
        <v>440</v>
      </c>
      <c r="B219" s="6" t="s">
        <v>441</v>
      </c>
      <c r="C219" s="6">
        <f t="shared" si="1"/>
        <v>1892</v>
      </c>
      <c r="D219" s="6">
        <f t="shared" si="26"/>
        <v>53</v>
      </c>
      <c r="E219" s="7">
        <v>0.0</v>
      </c>
      <c r="F219" s="8"/>
      <c r="G219" s="6">
        <f t="shared" si="3"/>
        <v>8616</v>
      </c>
      <c r="H219" s="6">
        <f t="shared" si="4"/>
        <v>18056</v>
      </c>
      <c r="I219" s="6">
        <f t="shared" si="5"/>
        <v>20054</v>
      </c>
      <c r="J219" s="6">
        <f t="shared" si="6"/>
        <v>37856</v>
      </c>
      <c r="K219" s="9"/>
      <c r="L219" s="9"/>
      <c r="M219" s="9"/>
      <c r="N219" s="9">
        <f t="shared" si="7"/>
        <v>20.00845666</v>
      </c>
      <c r="O219" s="10">
        <f t="shared" si="8"/>
        <v>6.587743733</v>
      </c>
      <c r="P219" s="9">
        <v>15.0</v>
      </c>
      <c r="Q219" s="11" t="str">
        <f t="shared" si="9"/>
        <v>¡Compra YA!</v>
      </c>
      <c r="R219" s="12"/>
      <c r="S219" s="8"/>
      <c r="T219" s="12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5.75" customHeight="1">
      <c r="A220" s="5" t="s">
        <v>442</v>
      </c>
      <c r="B220" s="6" t="s">
        <v>443</v>
      </c>
      <c r="C220" s="6">
        <f t="shared" si="1"/>
        <v>3331</v>
      </c>
      <c r="D220" s="6">
        <f t="shared" si="26"/>
        <v>215</v>
      </c>
      <c r="E220" s="7">
        <v>0.0</v>
      </c>
      <c r="F220" s="8"/>
      <c r="G220" s="6">
        <f t="shared" si="3"/>
        <v>5113</v>
      </c>
      <c r="H220" s="6">
        <f t="shared" si="4"/>
        <v>14314</v>
      </c>
      <c r="I220" s="6">
        <f t="shared" si="5"/>
        <v>23222</v>
      </c>
      <c r="J220" s="6">
        <f t="shared" si="6"/>
        <v>46252</v>
      </c>
      <c r="K220" s="9"/>
      <c r="L220" s="9"/>
      <c r="M220" s="9"/>
      <c r="N220" s="9">
        <f t="shared" si="7"/>
        <v>13.88531972</v>
      </c>
      <c r="O220" s="10">
        <f t="shared" si="8"/>
        <v>19.54429885</v>
      </c>
      <c r="P220" s="9">
        <v>15.0</v>
      </c>
      <c r="Q220" s="11" t="str">
        <f t="shared" si="9"/>
        <v>cobertura correcta</v>
      </c>
      <c r="R220" s="12"/>
      <c r="S220" s="8"/>
      <c r="T220" s="12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5.75" customHeight="1">
      <c r="A221" s="5" t="s">
        <v>444</v>
      </c>
      <c r="B221" s="6" t="s">
        <v>445</v>
      </c>
      <c r="C221" s="6">
        <f t="shared" si="1"/>
        <v>7969</v>
      </c>
      <c r="D221" s="6">
        <f t="shared" si="26"/>
        <v>224</v>
      </c>
      <c r="E221" s="7">
        <v>0.0</v>
      </c>
      <c r="F221" s="8"/>
      <c r="G221" s="6">
        <f t="shared" si="3"/>
        <v>8471</v>
      </c>
      <c r="H221" s="6">
        <f t="shared" si="4"/>
        <v>18809</v>
      </c>
      <c r="I221" s="6">
        <f t="shared" si="5"/>
        <v>20232</v>
      </c>
      <c r="J221" s="6">
        <f t="shared" si="6"/>
        <v>66270</v>
      </c>
      <c r="K221" s="9"/>
      <c r="L221" s="9"/>
      <c r="M221" s="9"/>
      <c r="N221" s="9">
        <f t="shared" si="7"/>
        <v>8.315974401</v>
      </c>
      <c r="O221" s="10">
        <f t="shared" si="8"/>
        <v>28.22216976</v>
      </c>
      <c r="P221" s="9">
        <v>15.0</v>
      </c>
      <c r="Q221" s="11" t="str">
        <f t="shared" si="9"/>
        <v>cobertura correcta</v>
      </c>
      <c r="R221" s="12"/>
      <c r="S221" s="8"/>
      <c r="T221" s="12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A222" s="5" t="s">
        <v>446</v>
      </c>
      <c r="B222" s="6"/>
      <c r="C222" s="6">
        <f t="shared" si="1"/>
        <v>5763</v>
      </c>
      <c r="D222" s="6">
        <f t="shared" si="26"/>
        <v>19</v>
      </c>
      <c r="E222" s="7">
        <v>0.0</v>
      </c>
      <c r="F222" s="8"/>
      <c r="G222" s="6">
        <f t="shared" si="3"/>
        <v>5441</v>
      </c>
      <c r="H222" s="6">
        <f t="shared" si="4"/>
        <v>11148</v>
      </c>
      <c r="I222" s="6">
        <f t="shared" si="5"/>
        <v>24386</v>
      </c>
      <c r="J222" s="6">
        <f t="shared" si="6"/>
        <v>77887</v>
      </c>
      <c r="K222" s="9"/>
      <c r="L222" s="9"/>
      <c r="M222" s="9"/>
      <c r="N222" s="9">
        <f t="shared" si="7"/>
        <v>13.51500954</v>
      </c>
      <c r="O222" s="10">
        <f t="shared" si="8"/>
        <v>31.77540893</v>
      </c>
      <c r="P222" s="9">
        <v>15.0</v>
      </c>
      <c r="Q222" s="11" t="str">
        <f t="shared" si="9"/>
        <v>cobertura correcta</v>
      </c>
      <c r="R222" s="12"/>
      <c r="S222" s="8"/>
      <c r="T222" s="12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5.75" customHeight="1">
      <c r="A223" s="5" t="s">
        <v>447</v>
      </c>
      <c r="B223" s="6" t="s">
        <v>448</v>
      </c>
      <c r="C223" s="6">
        <f t="shared" si="1"/>
        <v>7360</v>
      </c>
      <c r="D223" s="6">
        <f t="shared" si="26"/>
        <v>327</v>
      </c>
      <c r="E223" s="7">
        <v>0.0</v>
      </c>
      <c r="F223" s="8"/>
      <c r="G223" s="6">
        <f t="shared" si="3"/>
        <v>8385</v>
      </c>
      <c r="H223" s="6">
        <f t="shared" si="4"/>
        <v>14959</v>
      </c>
      <c r="I223" s="6">
        <f t="shared" si="5"/>
        <v>26806</v>
      </c>
      <c r="J223" s="6">
        <f t="shared" si="6"/>
        <v>83865</v>
      </c>
      <c r="K223" s="9"/>
      <c r="L223" s="9"/>
      <c r="M223" s="9"/>
      <c r="N223" s="9">
        <f t="shared" si="7"/>
        <v>11.39470109</v>
      </c>
      <c r="O223" s="10">
        <f t="shared" si="8"/>
        <v>26.33273703</v>
      </c>
      <c r="P223" s="9">
        <v>15.0</v>
      </c>
      <c r="Q223" s="11" t="str">
        <f t="shared" si="9"/>
        <v>cobertura correcta</v>
      </c>
      <c r="R223" s="12"/>
      <c r="S223" s="8"/>
      <c r="T223" s="12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5.75" customHeight="1">
      <c r="A224" s="5" t="s">
        <v>449</v>
      </c>
      <c r="B224" s="6"/>
      <c r="C224" s="6">
        <f t="shared" si="1"/>
        <v>2726</v>
      </c>
      <c r="D224" s="6">
        <f t="shared" si="26"/>
        <v>33</v>
      </c>
      <c r="E224" s="7">
        <v>0.0</v>
      </c>
      <c r="F224" s="8"/>
      <c r="G224" s="6">
        <f t="shared" si="3"/>
        <v>1152</v>
      </c>
      <c r="H224" s="6">
        <f t="shared" si="4"/>
        <v>11061</v>
      </c>
      <c r="I224" s="6">
        <f t="shared" si="5"/>
        <v>20233</v>
      </c>
      <c r="J224" s="6">
        <f t="shared" si="6"/>
        <v>97202</v>
      </c>
      <c r="K224" s="9"/>
      <c r="L224" s="9"/>
      <c r="M224" s="9"/>
      <c r="N224" s="9">
        <f t="shared" si="7"/>
        <v>35.65737344</v>
      </c>
      <c r="O224" s="10">
        <f t="shared" si="8"/>
        <v>70.98958333</v>
      </c>
      <c r="P224" s="9">
        <v>15.0</v>
      </c>
      <c r="Q224" s="11" t="str">
        <f t="shared" si="9"/>
        <v>cobertura correcta</v>
      </c>
      <c r="R224" s="12"/>
      <c r="S224" s="8"/>
      <c r="T224" s="12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5.75" customHeight="1">
      <c r="A225" s="5" t="s">
        <v>450</v>
      </c>
      <c r="B225" s="6"/>
      <c r="C225" s="6">
        <f t="shared" si="1"/>
        <v>5656</v>
      </c>
      <c r="D225" s="6">
        <f t="shared" si="26"/>
        <v>7</v>
      </c>
      <c r="E225" s="7">
        <v>0.0</v>
      </c>
      <c r="F225" s="8"/>
      <c r="G225" s="6">
        <f t="shared" si="3"/>
        <v>4018</v>
      </c>
      <c r="H225" s="6">
        <f t="shared" si="4"/>
        <v>9164</v>
      </c>
      <c r="I225" s="6">
        <f t="shared" si="5"/>
        <v>21555</v>
      </c>
      <c r="J225" s="6">
        <f t="shared" si="6"/>
        <v>35574</v>
      </c>
      <c r="K225" s="9"/>
      <c r="L225" s="9"/>
      <c r="M225" s="9"/>
      <c r="N225" s="9">
        <f t="shared" si="7"/>
        <v>6.28960396</v>
      </c>
      <c r="O225" s="10">
        <f t="shared" si="8"/>
        <v>42.22996516</v>
      </c>
      <c r="P225" s="9">
        <v>15.0</v>
      </c>
      <c r="Q225" s="11" t="str">
        <f t="shared" si="9"/>
        <v>cobertura correcta</v>
      </c>
      <c r="R225" s="12"/>
      <c r="S225" s="8"/>
      <c r="T225" s="12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5.75" customHeight="1">
      <c r="A226" s="5" t="s">
        <v>451</v>
      </c>
      <c r="B226" s="6"/>
      <c r="C226" s="6">
        <f t="shared" si="1"/>
        <v>4854</v>
      </c>
      <c r="D226" s="6">
        <f t="shared" si="26"/>
        <v>20</v>
      </c>
      <c r="E226" s="7">
        <v>0.0</v>
      </c>
      <c r="F226" s="8"/>
      <c r="G226" s="6">
        <f t="shared" si="3"/>
        <v>4945</v>
      </c>
      <c r="H226" s="6">
        <f t="shared" si="4"/>
        <v>16842</v>
      </c>
      <c r="I226" s="6">
        <f t="shared" si="5"/>
        <v>25074</v>
      </c>
      <c r="J226" s="6">
        <f t="shared" si="6"/>
        <v>31341</v>
      </c>
      <c r="K226" s="9"/>
      <c r="L226" s="9"/>
      <c r="M226" s="9"/>
      <c r="N226" s="9">
        <f t="shared" si="7"/>
        <v>6.456736712</v>
      </c>
      <c r="O226" s="10">
        <f t="shared" si="8"/>
        <v>29.4479272</v>
      </c>
      <c r="P226" s="9">
        <v>15.0</v>
      </c>
      <c r="Q226" s="11" t="str">
        <f t="shared" si="9"/>
        <v>cobertura correcta</v>
      </c>
      <c r="R226" s="12"/>
      <c r="S226" s="8"/>
      <c r="T226" s="12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5.75" customHeight="1">
      <c r="A227" s="5" t="s">
        <v>452</v>
      </c>
      <c r="B227" s="6" t="s">
        <v>453</v>
      </c>
      <c r="C227" s="6">
        <f t="shared" si="1"/>
        <v>5839</v>
      </c>
      <c r="D227" s="6">
        <f t="shared" si="26"/>
        <v>316</v>
      </c>
      <c r="E227" s="7">
        <v>0.0</v>
      </c>
      <c r="F227" s="8"/>
      <c r="G227" s="6">
        <f t="shared" si="3"/>
        <v>4668</v>
      </c>
      <c r="H227" s="6">
        <f t="shared" si="4"/>
        <v>11469</v>
      </c>
      <c r="I227" s="6">
        <f t="shared" si="5"/>
        <v>22543</v>
      </c>
      <c r="J227" s="6">
        <f t="shared" si="6"/>
        <v>33214</v>
      </c>
      <c r="K227" s="9"/>
      <c r="L227" s="9"/>
      <c r="M227" s="9"/>
      <c r="N227" s="9">
        <f t="shared" si="7"/>
        <v>5.688302792</v>
      </c>
      <c r="O227" s="10">
        <f t="shared" si="8"/>
        <v>37.52570694</v>
      </c>
      <c r="P227" s="9">
        <v>15.0</v>
      </c>
      <c r="Q227" s="11" t="str">
        <f t="shared" si="9"/>
        <v>cobertura correcta</v>
      </c>
      <c r="R227" s="12"/>
      <c r="S227" s="8"/>
      <c r="T227" s="12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5.75" customHeight="1">
      <c r="A228" s="5" t="s">
        <v>454</v>
      </c>
      <c r="B228" s="6" t="s">
        <v>455</v>
      </c>
      <c r="C228" s="6">
        <f t="shared" si="1"/>
        <v>6049</v>
      </c>
      <c r="D228" s="6">
        <f t="shared" si="26"/>
        <v>145</v>
      </c>
      <c r="E228" s="7">
        <v>0.0</v>
      </c>
      <c r="F228" s="8"/>
      <c r="G228" s="6">
        <f t="shared" si="3"/>
        <v>1074</v>
      </c>
      <c r="H228" s="6">
        <f t="shared" si="4"/>
        <v>10527</v>
      </c>
      <c r="I228" s="6">
        <f t="shared" si="5"/>
        <v>27862</v>
      </c>
      <c r="J228" s="6">
        <f t="shared" si="6"/>
        <v>84911</v>
      </c>
      <c r="K228" s="9"/>
      <c r="L228" s="9"/>
      <c r="M228" s="9"/>
      <c r="N228" s="9">
        <f t="shared" si="7"/>
        <v>14.03719623</v>
      </c>
      <c r="O228" s="10">
        <f t="shared" si="8"/>
        <v>168.9664804</v>
      </c>
      <c r="P228" s="9">
        <v>15.0</v>
      </c>
      <c r="Q228" s="11" t="str">
        <f t="shared" si="9"/>
        <v>cobertura correcta</v>
      </c>
      <c r="R228" s="12"/>
      <c r="S228" s="8"/>
      <c r="T228" s="12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5.75" customHeight="1">
      <c r="A229" s="5" t="s">
        <v>456</v>
      </c>
      <c r="B229" s="6"/>
      <c r="C229" s="6">
        <f t="shared" si="1"/>
        <v>3081</v>
      </c>
      <c r="D229" s="6">
        <f t="shared" si="26"/>
        <v>136</v>
      </c>
      <c r="E229" s="6">
        <f t="shared" ref="E229:E232" si="33">RANDBETWEEN(0, 1000)</f>
        <v>769</v>
      </c>
      <c r="F229" s="8"/>
      <c r="G229" s="6">
        <f t="shared" si="3"/>
        <v>8524</v>
      </c>
      <c r="H229" s="6">
        <f t="shared" si="4"/>
        <v>13812</v>
      </c>
      <c r="I229" s="6">
        <f t="shared" si="5"/>
        <v>27487</v>
      </c>
      <c r="J229" s="6">
        <f t="shared" si="6"/>
        <v>65476</v>
      </c>
      <c r="K229" s="9"/>
      <c r="L229" s="9"/>
      <c r="M229" s="9"/>
      <c r="N229" s="9">
        <f t="shared" si="7"/>
        <v>21.25154171</v>
      </c>
      <c r="O229" s="10">
        <f t="shared" si="8"/>
        <v>10.8435007</v>
      </c>
      <c r="P229" s="9">
        <v>15.0</v>
      </c>
      <c r="Q229" s="11" t="str">
        <f t="shared" si="9"/>
        <v>¡Compra YA!</v>
      </c>
      <c r="R229" s="12"/>
      <c r="S229" s="8"/>
      <c r="T229" s="12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5.75" customHeight="1">
      <c r="A230" s="5" t="s">
        <v>457</v>
      </c>
      <c r="B230" s="6" t="s">
        <v>458</v>
      </c>
      <c r="C230" s="6">
        <f t="shared" si="1"/>
        <v>4489</v>
      </c>
      <c r="D230" s="6">
        <f t="shared" si="26"/>
        <v>12</v>
      </c>
      <c r="E230" s="6">
        <f t="shared" si="33"/>
        <v>162</v>
      </c>
      <c r="F230" s="8"/>
      <c r="G230" s="6">
        <f t="shared" si="3"/>
        <v>1817</v>
      </c>
      <c r="H230" s="6">
        <f t="shared" si="4"/>
        <v>18671</v>
      </c>
      <c r="I230" s="6">
        <f t="shared" si="5"/>
        <v>28627</v>
      </c>
      <c r="J230" s="6">
        <f t="shared" si="6"/>
        <v>74462</v>
      </c>
      <c r="K230" s="9"/>
      <c r="L230" s="9"/>
      <c r="M230" s="9"/>
      <c r="N230" s="9">
        <f t="shared" si="7"/>
        <v>16.58765872</v>
      </c>
      <c r="O230" s="10">
        <f t="shared" si="8"/>
        <v>74.11667584</v>
      </c>
      <c r="P230" s="9">
        <v>15.0</v>
      </c>
      <c r="Q230" s="11" t="str">
        <f t="shared" si="9"/>
        <v>cobertura correcta</v>
      </c>
      <c r="R230" s="12"/>
      <c r="S230" s="8"/>
      <c r="T230" s="12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5.75" customHeight="1">
      <c r="A231" s="5" t="s">
        <v>459</v>
      </c>
      <c r="B231" s="6" t="s">
        <v>460</v>
      </c>
      <c r="C231" s="6">
        <f t="shared" si="1"/>
        <v>6818</v>
      </c>
      <c r="D231" s="6">
        <f t="shared" si="26"/>
        <v>249</v>
      </c>
      <c r="E231" s="6">
        <f t="shared" si="33"/>
        <v>118</v>
      </c>
      <c r="F231" s="8"/>
      <c r="G231" s="6">
        <f t="shared" si="3"/>
        <v>6146</v>
      </c>
      <c r="H231" s="6">
        <f t="shared" si="4"/>
        <v>13787</v>
      </c>
      <c r="I231" s="6">
        <f t="shared" si="5"/>
        <v>22066</v>
      </c>
      <c r="J231" s="6">
        <f t="shared" si="6"/>
        <v>97865</v>
      </c>
      <c r="K231" s="9"/>
      <c r="L231" s="9"/>
      <c r="M231" s="9"/>
      <c r="N231" s="9">
        <f t="shared" si="7"/>
        <v>14.3539161</v>
      </c>
      <c r="O231" s="10">
        <f t="shared" si="8"/>
        <v>33.28018223</v>
      </c>
      <c r="P231" s="9">
        <v>15.0</v>
      </c>
      <c r="Q231" s="11" t="str">
        <f t="shared" si="9"/>
        <v>cobertura correcta</v>
      </c>
      <c r="R231" s="12"/>
      <c r="S231" s="8"/>
      <c r="T231" s="12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5.75" customHeight="1">
      <c r="A232" s="5" t="s">
        <v>461</v>
      </c>
      <c r="B232" s="6" t="s">
        <v>462</v>
      </c>
      <c r="C232" s="6">
        <f t="shared" si="1"/>
        <v>1349</v>
      </c>
      <c r="D232" s="6">
        <f t="shared" si="26"/>
        <v>297</v>
      </c>
      <c r="E232" s="6">
        <f t="shared" si="33"/>
        <v>762</v>
      </c>
      <c r="F232" s="8"/>
      <c r="G232" s="6">
        <f t="shared" si="3"/>
        <v>8320</v>
      </c>
      <c r="H232" s="6">
        <f t="shared" si="4"/>
        <v>13334</v>
      </c>
      <c r="I232" s="6">
        <f t="shared" si="5"/>
        <v>23258</v>
      </c>
      <c r="J232" s="6">
        <f t="shared" si="6"/>
        <v>66624</v>
      </c>
      <c r="K232" s="9"/>
      <c r="L232" s="9"/>
      <c r="M232" s="9"/>
      <c r="N232" s="9">
        <f t="shared" si="7"/>
        <v>49.38769459</v>
      </c>
      <c r="O232" s="10">
        <f t="shared" si="8"/>
        <v>4.864182692</v>
      </c>
      <c r="P232" s="9">
        <v>15.0</v>
      </c>
      <c r="Q232" s="11" t="str">
        <f t="shared" si="9"/>
        <v>¡Compra YA!</v>
      </c>
      <c r="R232" s="12"/>
      <c r="S232" s="8"/>
      <c r="T232" s="12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5.75" customHeight="1">
      <c r="A233" s="5" t="s">
        <v>463</v>
      </c>
      <c r="B233" s="6" t="s">
        <v>464</v>
      </c>
      <c r="C233" s="6">
        <f t="shared" si="1"/>
        <v>7790</v>
      </c>
      <c r="D233" s="6">
        <f t="shared" si="26"/>
        <v>103</v>
      </c>
      <c r="E233" s="7">
        <v>0.0</v>
      </c>
      <c r="F233" s="8"/>
      <c r="G233" s="6">
        <f t="shared" si="3"/>
        <v>3652</v>
      </c>
      <c r="H233" s="6">
        <f t="shared" si="4"/>
        <v>13521</v>
      </c>
      <c r="I233" s="6">
        <f t="shared" si="5"/>
        <v>23265</v>
      </c>
      <c r="J233" s="6">
        <f t="shared" si="6"/>
        <v>42829</v>
      </c>
      <c r="K233" s="9"/>
      <c r="L233" s="9"/>
      <c r="M233" s="9"/>
      <c r="N233" s="9">
        <f t="shared" si="7"/>
        <v>5.497946085</v>
      </c>
      <c r="O233" s="10">
        <f t="shared" si="8"/>
        <v>63.99233297</v>
      </c>
      <c r="P233" s="9">
        <v>15.0</v>
      </c>
      <c r="Q233" s="11" t="str">
        <f t="shared" si="9"/>
        <v>cobertura correcta</v>
      </c>
      <c r="R233" s="12"/>
      <c r="S233" s="8"/>
      <c r="T233" s="12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5.75" customHeight="1">
      <c r="A234" s="5" t="s">
        <v>465</v>
      </c>
      <c r="B234" s="6" t="s">
        <v>466</v>
      </c>
      <c r="C234" s="6">
        <f t="shared" si="1"/>
        <v>7160</v>
      </c>
      <c r="D234" s="6">
        <f t="shared" si="26"/>
        <v>244</v>
      </c>
      <c r="E234" s="6">
        <f t="shared" ref="E234:E235" si="34">RANDBETWEEN(0, 1000)</f>
        <v>164</v>
      </c>
      <c r="F234" s="8"/>
      <c r="G234" s="6">
        <f t="shared" si="3"/>
        <v>1261</v>
      </c>
      <c r="H234" s="6">
        <f t="shared" si="4"/>
        <v>12141</v>
      </c>
      <c r="I234" s="6">
        <f t="shared" si="5"/>
        <v>26239</v>
      </c>
      <c r="J234" s="6">
        <f t="shared" si="6"/>
        <v>46906</v>
      </c>
      <c r="K234" s="9"/>
      <c r="L234" s="9"/>
      <c r="M234" s="9"/>
      <c r="N234" s="9">
        <f t="shared" si="7"/>
        <v>6.551117318</v>
      </c>
      <c r="O234" s="10">
        <f t="shared" si="8"/>
        <v>170.3409992</v>
      </c>
      <c r="P234" s="9">
        <v>15.0</v>
      </c>
      <c r="Q234" s="11" t="str">
        <f t="shared" si="9"/>
        <v>cobertura correcta</v>
      </c>
      <c r="R234" s="12"/>
      <c r="S234" s="8"/>
      <c r="T234" s="12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5.75" customHeight="1">
      <c r="A235" s="5" t="s">
        <v>467</v>
      </c>
      <c r="B235" s="6" t="s">
        <v>468</v>
      </c>
      <c r="C235" s="6">
        <f t="shared" si="1"/>
        <v>4374</v>
      </c>
      <c r="D235" s="6">
        <f t="shared" si="26"/>
        <v>128</v>
      </c>
      <c r="E235" s="6">
        <f t="shared" si="34"/>
        <v>80</v>
      </c>
      <c r="F235" s="8"/>
      <c r="G235" s="6">
        <f t="shared" si="3"/>
        <v>6426</v>
      </c>
      <c r="H235" s="6">
        <f t="shared" si="4"/>
        <v>18357</v>
      </c>
      <c r="I235" s="6">
        <f t="shared" si="5"/>
        <v>27086</v>
      </c>
      <c r="J235" s="6">
        <f t="shared" si="6"/>
        <v>59087</v>
      </c>
      <c r="K235" s="9"/>
      <c r="L235" s="9"/>
      <c r="M235" s="9"/>
      <c r="N235" s="9">
        <f t="shared" si="7"/>
        <v>13.5086877</v>
      </c>
      <c r="O235" s="10">
        <f t="shared" si="8"/>
        <v>20.42016807</v>
      </c>
      <c r="P235" s="9">
        <v>15.0</v>
      </c>
      <c r="Q235" s="11" t="str">
        <f t="shared" si="9"/>
        <v>cobertura correcta</v>
      </c>
      <c r="R235" s="12"/>
      <c r="S235" s="8"/>
      <c r="T235" s="12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5.75" customHeight="1">
      <c r="A236" s="5" t="s">
        <v>469</v>
      </c>
      <c r="B236" s="6" t="s">
        <v>470</v>
      </c>
      <c r="C236" s="6">
        <f t="shared" si="1"/>
        <v>7863</v>
      </c>
      <c r="D236" s="6">
        <f t="shared" si="26"/>
        <v>67</v>
      </c>
      <c r="E236" s="7">
        <v>0.0</v>
      </c>
      <c r="F236" s="8"/>
      <c r="G236" s="6">
        <f t="shared" si="3"/>
        <v>3638</v>
      </c>
      <c r="H236" s="6">
        <f t="shared" si="4"/>
        <v>14557</v>
      </c>
      <c r="I236" s="6">
        <f t="shared" si="5"/>
        <v>26316</v>
      </c>
      <c r="J236" s="6">
        <f t="shared" si="6"/>
        <v>42138</v>
      </c>
      <c r="K236" s="9"/>
      <c r="L236" s="9"/>
      <c r="M236" s="9"/>
      <c r="N236" s="9">
        <f t="shared" si="7"/>
        <v>5.359023274</v>
      </c>
      <c r="O236" s="10">
        <f t="shared" si="8"/>
        <v>64.84057174</v>
      </c>
      <c r="P236" s="9">
        <v>15.0</v>
      </c>
      <c r="Q236" s="11" t="str">
        <f t="shared" si="9"/>
        <v>cobertura correcta</v>
      </c>
      <c r="R236" s="12"/>
      <c r="S236" s="8"/>
      <c r="T236" s="12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5.75" customHeight="1">
      <c r="A237" s="5" t="s">
        <v>471</v>
      </c>
      <c r="B237" s="6" t="s">
        <v>472</v>
      </c>
      <c r="C237" s="6">
        <f t="shared" si="1"/>
        <v>4083</v>
      </c>
      <c r="D237" s="6">
        <f t="shared" si="26"/>
        <v>204</v>
      </c>
      <c r="E237" s="6">
        <f>RANDBETWEEN(0, 1000)</f>
        <v>972</v>
      </c>
      <c r="F237" s="8"/>
      <c r="G237" s="6">
        <f t="shared" si="3"/>
        <v>1310</v>
      </c>
      <c r="H237" s="6">
        <f t="shared" si="4"/>
        <v>18112</v>
      </c>
      <c r="I237" s="6">
        <f t="shared" si="5"/>
        <v>21210</v>
      </c>
      <c r="J237" s="6">
        <f t="shared" si="6"/>
        <v>95763</v>
      </c>
      <c r="K237" s="9"/>
      <c r="L237" s="9"/>
      <c r="M237" s="9"/>
      <c r="N237" s="9">
        <f t="shared" si="7"/>
        <v>23.45407788</v>
      </c>
      <c r="O237" s="10">
        <f t="shared" si="8"/>
        <v>93.50381679</v>
      </c>
      <c r="P237" s="9">
        <v>15.0</v>
      </c>
      <c r="Q237" s="11" t="str">
        <f t="shared" si="9"/>
        <v>cobertura correcta</v>
      </c>
      <c r="R237" s="12"/>
      <c r="S237" s="8"/>
      <c r="T237" s="12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5.75" customHeight="1">
      <c r="A238" s="5" t="s">
        <v>473</v>
      </c>
      <c r="B238" s="6" t="s">
        <v>474</v>
      </c>
      <c r="C238" s="6">
        <f t="shared" si="1"/>
        <v>7152</v>
      </c>
      <c r="D238" s="6">
        <f t="shared" si="26"/>
        <v>76</v>
      </c>
      <c r="E238" s="7">
        <v>0.0</v>
      </c>
      <c r="F238" s="8"/>
      <c r="G238" s="6">
        <f t="shared" si="3"/>
        <v>7160</v>
      </c>
      <c r="H238" s="6">
        <f t="shared" si="4"/>
        <v>18458</v>
      </c>
      <c r="I238" s="6">
        <f t="shared" si="5"/>
        <v>24891</v>
      </c>
      <c r="J238" s="6">
        <f t="shared" si="6"/>
        <v>63743</v>
      </c>
      <c r="K238" s="9"/>
      <c r="L238" s="9"/>
      <c r="M238" s="9"/>
      <c r="N238" s="9">
        <f t="shared" si="7"/>
        <v>8.912611857</v>
      </c>
      <c r="O238" s="10">
        <f t="shared" si="8"/>
        <v>29.96648045</v>
      </c>
      <c r="P238" s="9">
        <v>15.0</v>
      </c>
      <c r="Q238" s="11" t="str">
        <f t="shared" si="9"/>
        <v>cobertura correcta</v>
      </c>
      <c r="R238" s="12"/>
      <c r="S238" s="8"/>
      <c r="T238" s="12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5.75" customHeight="1">
      <c r="A239" s="5" t="s">
        <v>475</v>
      </c>
      <c r="B239" s="6" t="s">
        <v>476</v>
      </c>
      <c r="C239" s="6">
        <f t="shared" si="1"/>
        <v>8526</v>
      </c>
      <c r="D239" s="6">
        <f t="shared" si="26"/>
        <v>228</v>
      </c>
      <c r="E239" s="7">
        <v>0.0</v>
      </c>
      <c r="F239" s="8"/>
      <c r="G239" s="6">
        <f t="shared" si="3"/>
        <v>2182</v>
      </c>
      <c r="H239" s="6">
        <f t="shared" si="4"/>
        <v>13884</v>
      </c>
      <c r="I239" s="6">
        <f t="shared" si="5"/>
        <v>27959</v>
      </c>
      <c r="J239" s="6">
        <f t="shared" si="6"/>
        <v>98144</v>
      </c>
      <c r="K239" s="9"/>
      <c r="L239" s="9"/>
      <c r="M239" s="9"/>
      <c r="N239" s="9">
        <f t="shared" si="7"/>
        <v>11.51114239</v>
      </c>
      <c r="O239" s="10">
        <f t="shared" si="8"/>
        <v>117.2227314</v>
      </c>
      <c r="P239" s="9">
        <v>15.0</v>
      </c>
      <c r="Q239" s="11" t="str">
        <f t="shared" si="9"/>
        <v>cobertura correcta</v>
      </c>
      <c r="R239" s="12"/>
      <c r="S239" s="8"/>
      <c r="T239" s="12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5.75" customHeight="1">
      <c r="A240" s="5" t="s">
        <v>477</v>
      </c>
      <c r="B240" s="6" t="s">
        <v>478</v>
      </c>
      <c r="C240" s="6">
        <f t="shared" si="1"/>
        <v>1113</v>
      </c>
      <c r="D240" s="6">
        <f t="shared" si="26"/>
        <v>227</v>
      </c>
      <c r="E240" s="7">
        <v>0.0</v>
      </c>
      <c r="F240" s="8"/>
      <c r="G240" s="6">
        <f t="shared" si="3"/>
        <v>5497</v>
      </c>
      <c r="H240" s="6">
        <f t="shared" si="4"/>
        <v>14687</v>
      </c>
      <c r="I240" s="6">
        <f t="shared" si="5"/>
        <v>28822</v>
      </c>
      <c r="J240" s="6">
        <f t="shared" si="6"/>
        <v>76907</v>
      </c>
      <c r="K240" s="9"/>
      <c r="L240" s="9"/>
      <c r="M240" s="9"/>
      <c r="N240" s="9">
        <f t="shared" si="7"/>
        <v>69.09883199</v>
      </c>
      <c r="O240" s="10">
        <f t="shared" si="8"/>
        <v>6.074222303</v>
      </c>
      <c r="P240" s="9">
        <v>15.0</v>
      </c>
      <c r="Q240" s="11" t="str">
        <f t="shared" si="9"/>
        <v>¡Compra YA!</v>
      </c>
      <c r="R240" s="12"/>
      <c r="S240" s="8"/>
      <c r="T240" s="12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5.75" customHeight="1">
      <c r="A241" s="5" t="s">
        <v>479</v>
      </c>
      <c r="B241" s="6" t="s">
        <v>480</v>
      </c>
      <c r="C241" s="6">
        <f t="shared" si="1"/>
        <v>3329</v>
      </c>
      <c r="D241" s="6">
        <f t="shared" si="26"/>
        <v>279</v>
      </c>
      <c r="E241" s="7">
        <v>0.0</v>
      </c>
      <c r="F241" s="8"/>
      <c r="G241" s="6">
        <f t="shared" si="3"/>
        <v>1255</v>
      </c>
      <c r="H241" s="6">
        <f t="shared" si="4"/>
        <v>13239</v>
      </c>
      <c r="I241" s="6">
        <f t="shared" si="5"/>
        <v>23248</v>
      </c>
      <c r="J241" s="6">
        <f t="shared" si="6"/>
        <v>53443</v>
      </c>
      <c r="K241" s="9"/>
      <c r="L241" s="9"/>
      <c r="M241" s="9"/>
      <c r="N241" s="9">
        <f t="shared" si="7"/>
        <v>16.0537699</v>
      </c>
      <c r="O241" s="10">
        <f t="shared" si="8"/>
        <v>79.57768924</v>
      </c>
      <c r="P241" s="9">
        <v>15.0</v>
      </c>
      <c r="Q241" s="11" t="str">
        <f t="shared" si="9"/>
        <v>cobertura correcta</v>
      </c>
      <c r="R241" s="12"/>
      <c r="S241" s="8"/>
      <c r="T241" s="12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5.75" customHeight="1">
      <c r="A242" s="5" t="s">
        <v>481</v>
      </c>
      <c r="B242" s="6" t="s">
        <v>482</v>
      </c>
      <c r="C242" s="6">
        <f t="shared" si="1"/>
        <v>5000</v>
      </c>
      <c r="D242" s="6">
        <f t="shared" si="26"/>
        <v>283</v>
      </c>
      <c r="E242" s="7">
        <v>0.0</v>
      </c>
      <c r="F242" s="8"/>
      <c r="G242" s="6">
        <f t="shared" si="3"/>
        <v>1445</v>
      </c>
      <c r="H242" s="6">
        <f t="shared" si="4"/>
        <v>17127</v>
      </c>
      <c r="I242" s="6">
        <f t="shared" si="5"/>
        <v>28181</v>
      </c>
      <c r="J242" s="6">
        <f t="shared" si="6"/>
        <v>35623</v>
      </c>
      <c r="K242" s="9"/>
      <c r="L242" s="9"/>
      <c r="M242" s="9"/>
      <c r="N242" s="9">
        <f t="shared" si="7"/>
        <v>7.1246</v>
      </c>
      <c r="O242" s="10">
        <f t="shared" si="8"/>
        <v>103.8062284</v>
      </c>
      <c r="P242" s="9">
        <v>15.0</v>
      </c>
      <c r="Q242" s="11" t="str">
        <f t="shared" si="9"/>
        <v>cobertura correcta</v>
      </c>
      <c r="R242" s="12"/>
      <c r="S242" s="8"/>
      <c r="T242" s="12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5.75" customHeight="1">
      <c r="A243" s="5" t="s">
        <v>483</v>
      </c>
      <c r="B243" s="6" t="s">
        <v>484</v>
      </c>
      <c r="C243" s="6">
        <f t="shared" si="1"/>
        <v>3695</v>
      </c>
      <c r="D243" s="6">
        <f t="shared" si="26"/>
        <v>192</v>
      </c>
      <c r="E243" s="7">
        <v>0.0</v>
      </c>
      <c r="F243" s="8"/>
      <c r="G243" s="6">
        <f t="shared" si="3"/>
        <v>1713</v>
      </c>
      <c r="H243" s="6">
        <f t="shared" si="4"/>
        <v>10579</v>
      </c>
      <c r="I243" s="6">
        <f t="shared" si="5"/>
        <v>28991</v>
      </c>
      <c r="J243" s="6">
        <f t="shared" si="6"/>
        <v>89579</v>
      </c>
      <c r="K243" s="9"/>
      <c r="L243" s="9"/>
      <c r="M243" s="9"/>
      <c r="N243" s="9">
        <f t="shared" si="7"/>
        <v>24.24330176</v>
      </c>
      <c r="O243" s="10">
        <f t="shared" si="8"/>
        <v>64.71103327</v>
      </c>
      <c r="P243" s="9">
        <v>15.0</v>
      </c>
      <c r="Q243" s="11" t="str">
        <f t="shared" si="9"/>
        <v>cobertura correcta</v>
      </c>
      <c r="R243" s="12"/>
      <c r="S243" s="8"/>
      <c r="T243" s="12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5.75" customHeight="1">
      <c r="A244" s="5" t="s">
        <v>485</v>
      </c>
      <c r="B244" s="6" t="s">
        <v>486</v>
      </c>
      <c r="C244" s="6">
        <f t="shared" si="1"/>
        <v>7877</v>
      </c>
      <c r="D244" s="6">
        <f t="shared" si="26"/>
        <v>272</v>
      </c>
      <c r="E244" s="7">
        <v>0.0</v>
      </c>
      <c r="F244" s="8"/>
      <c r="G244" s="6">
        <f t="shared" si="3"/>
        <v>2530</v>
      </c>
      <c r="H244" s="6">
        <f t="shared" si="4"/>
        <v>9401</v>
      </c>
      <c r="I244" s="6">
        <f t="shared" si="5"/>
        <v>19756</v>
      </c>
      <c r="J244" s="6">
        <f t="shared" si="6"/>
        <v>74223</v>
      </c>
      <c r="K244" s="9"/>
      <c r="L244" s="9"/>
      <c r="M244" s="9"/>
      <c r="N244" s="9">
        <f t="shared" si="7"/>
        <v>9.422749778</v>
      </c>
      <c r="O244" s="10">
        <f t="shared" si="8"/>
        <v>93.40316206</v>
      </c>
      <c r="P244" s="9">
        <v>15.0</v>
      </c>
      <c r="Q244" s="11" t="str">
        <f t="shared" si="9"/>
        <v>cobertura correcta</v>
      </c>
      <c r="R244" s="12"/>
      <c r="S244" s="8"/>
      <c r="T244" s="12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5.75" customHeight="1">
      <c r="A245" s="5" t="s">
        <v>487</v>
      </c>
      <c r="B245" s="6" t="s">
        <v>488</v>
      </c>
      <c r="C245" s="6">
        <f t="shared" si="1"/>
        <v>6463</v>
      </c>
      <c r="D245" s="6">
        <f t="shared" si="26"/>
        <v>314</v>
      </c>
      <c r="E245" s="7">
        <v>0.0</v>
      </c>
      <c r="F245" s="8"/>
      <c r="G245" s="6">
        <f t="shared" si="3"/>
        <v>4170</v>
      </c>
      <c r="H245" s="6">
        <f t="shared" si="4"/>
        <v>11627</v>
      </c>
      <c r="I245" s="6">
        <f t="shared" si="5"/>
        <v>20487</v>
      </c>
      <c r="J245" s="6">
        <f t="shared" si="6"/>
        <v>84474</v>
      </c>
      <c r="K245" s="9"/>
      <c r="L245" s="9"/>
      <c r="M245" s="9"/>
      <c r="N245" s="9">
        <f t="shared" si="7"/>
        <v>13.07040074</v>
      </c>
      <c r="O245" s="10">
        <f t="shared" si="8"/>
        <v>46.49640288</v>
      </c>
      <c r="P245" s="9">
        <v>15.0</v>
      </c>
      <c r="Q245" s="11" t="str">
        <f t="shared" si="9"/>
        <v>cobertura correcta</v>
      </c>
      <c r="R245" s="12"/>
      <c r="S245" s="8"/>
      <c r="T245" s="12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5.75" customHeight="1">
      <c r="A246" s="5" t="s">
        <v>489</v>
      </c>
      <c r="B246" s="6" t="s">
        <v>490</v>
      </c>
      <c r="C246" s="6">
        <f t="shared" si="1"/>
        <v>7644</v>
      </c>
      <c r="D246" s="6">
        <f t="shared" si="26"/>
        <v>193</v>
      </c>
      <c r="E246" s="7">
        <v>0.0</v>
      </c>
      <c r="F246" s="8"/>
      <c r="G246" s="6">
        <f t="shared" si="3"/>
        <v>5456</v>
      </c>
      <c r="H246" s="6">
        <f t="shared" si="4"/>
        <v>15415</v>
      </c>
      <c r="I246" s="6">
        <f t="shared" si="5"/>
        <v>19887</v>
      </c>
      <c r="J246" s="6">
        <f t="shared" si="6"/>
        <v>74152</v>
      </c>
      <c r="K246" s="9"/>
      <c r="L246" s="9"/>
      <c r="M246" s="9"/>
      <c r="N246" s="9">
        <f t="shared" si="7"/>
        <v>9.700680272</v>
      </c>
      <c r="O246" s="10">
        <f t="shared" si="8"/>
        <v>42.03079179</v>
      </c>
      <c r="P246" s="9">
        <v>15.0</v>
      </c>
      <c r="Q246" s="11" t="str">
        <f t="shared" si="9"/>
        <v>cobertura correcta</v>
      </c>
      <c r="R246" s="12"/>
      <c r="S246" s="8"/>
      <c r="T246" s="12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5.75" customHeight="1">
      <c r="A247" s="5" t="s">
        <v>491</v>
      </c>
      <c r="B247" s="6" t="s">
        <v>492</v>
      </c>
      <c r="C247" s="6">
        <f t="shared" si="1"/>
        <v>7397</v>
      </c>
      <c r="D247" s="6">
        <f t="shared" si="26"/>
        <v>136</v>
      </c>
      <c r="E247" s="7">
        <v>0.0</v>
      </c>
      <c r="F247" s="8"/>
      <c r="G247" s="6">
        <f t="shared" si="3"/>
        <v>4669</v>
      </c>
      <c r="H247" s="6">
        <f t="shared" si="4"/>
        <v>17332</v>
      </c>
      <c r="I247" s="6">
        <f t="shared" si="5"/>
        <v>26693</v>
      </c>
      <c r="J247" s="6">
        <f t="shared" si="6"/>
        <v>46276</v>
      </c>
      <c r="K247" s="9"/>
      <c r="L247" s="9"/>
      <c r="M247" s="9"/>
      <c r="N247" s="9">
        <f t="shared" si="7"/>
        <v>6.25604975</v>
      </c>
      <c r="O247" s="10">
        <f t="shared" si="8"/>
        <v>47.52837867</v>
      </c>
      <c r="P247" s="9">
        <v>15.0</v>
      </c>
      <c r="Q247" s="11" t="str">
        <f t="shared" si="9"/>
        <v>cobertura correcta</v>
      </c>
      <c r="R247" s="12"/>
      <c r="S247" s="8"/>
      <c r="T247" s="12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5.75" customHeight="1">
      <c r="A248" s="5" t="s">
        <v>493</v>
      </c>
      <c r="B248" s="6" t="s">
        <v>494</v>
      </c>
      <c r="C248" s="6">
        <f t="shared" si="1"/>
        <v>7479</v>
      </c>
      <c r="D248" s="6">
        <f t="shared" si="26"/>
        <v>301</v>
      </c>
      <c r="E248" s="7">
        <v>0.0</v>
      </c>
      <c r="F248" s="8"/>
      <c r="G248" s="6">
        <f t="shared" si="3"/>
        <v>2892</v>
      </c>
      <c r="H248" s="6">
        <f t="shared" si="4"/>
        <v>10968</v>
      </c>
      <c r="I248" s="6">
        <f t="shared" si="5"/>
        <v>26737</v>
      </c>
      <c r="J248" s="6">
        <f t="shared" si="6"/>
        <v>42664</v>
      </c>
      <c r="K248" s="9"/>
      <c r="L248" s="9"/>
      <c r="M248" s="9"/>
      <c r="N248" s="9">
        <f t="shared" si="7"/>
        <v>5.70450595</v>
      </c>
      <c r="O248" s="10">
        <f t="shared" si="8"/>
        <v>77.58298755</v>
      </c>
      <c r="P248" s="9">
        <v>15.0</v>
      </c>
      <c r="Q248" s="11" t="str">
        <f t="shared" si="9"/>
        <v>cobertura correcta</v>
      </c>
      <c r="R248" s="12"/>
      <c r="S248" s="8"/>
      <c r="T248" s="12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5.75" customHeight="1">
      <c r="A249" s="5" t="s">
        <v>495</v>
      </c>
      <c r="B249" s="6" t="s">
        <v>496</v>
      </c>
      <c r="C249" s="6">
        <f t="shared" si="1"/>
        <v>2068</v>
      </c>
      <c r="D249" s="6">
        <f t="shared" si="26"/>
        <v>249</v>
      </c>
      <c r="E249" s="7">
        <v>0.0</v>
      </c>
      <c r="F249" s="8"/>
      <c r="G249" s="6">
        <f t="shared" si="3"/>
        <v>2453</v>
      </c>
      <c r="H249" s="6">
        <f t="shared" si="4"/>
        <v>13689</v>
      </c>
      <c r="I249" s="6">
        <f t="shared" si="5"/>
        <v>19935</v>
      </c>
      <c r="J249" s="6">
        <f t="shared" si="6"/>
        <v>83947</v>
      </c>
      <c r="K249" s="9"/>
      <c r="L249" s="9"/>
      <c r="M249" s="9"/>
      <c r="N249" s="9">
        <f t="shared" si="7"/>
        <v>40.59332689</v>
      </c>
      <c r="O249" s="10">
        <f t="shared" si="8"/>
        <v>25.29147982</v>
      </c>
      <c r="P249" s="9">
        <v>15.0</v>
      </c>
      <c r="Q249" s="11" t="str">
        <f t="shared" si="9"/>
        <v>cobertura correcta</v>
      </c>
      <c r="R249" s="12"/>
      <c r="S249" s="8"/>
      <c r="T249" s="12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5.75" customHeight="1">
      <c r="A250" s="5" t="s">
        <v>497</v>
      </c>
      <c r="B250" s="6" t="s">
        <v>498</v>
      </c>
      <c r="C250" s="6">
        <f t="shared" si="1"/>
        <v>7070</v>
      </c>
      <c r="D250" s="6">
        <f t="shared" si="26"/>
        <v>298</v>
      </c>
      <c r="E250" s="7">
        <v>0.0</v>
      </c>
      <c r="F250" s="8"/>
      <c r="G250" s="6">
        <f t="shared" si="3"/>
        <v>6437</v>
      </c>
      <c r="H250" s="6">
        <f t="shared" si="4"/>
        <v>15523</v>
      </c>
      <c r="I250" s="6">
        <f t="shared" si="5"/>
        <v>25070</v>
      </c>
      <c r="J250" s="6">
        <f t="shared" si="6"/>
        <v>77894</v>
      </c>
      <c r="K250" s="9"/>
      <c r="L250" s="9"/>
      <c r="M250" s="9"/>
      <c r="N250" s="9">
        <f t="shared" si="7"/>
        <v>11.0175389</v>
      </c>
      <c r="O250" s="10">
        <f t="shared" si="8"/>
        <v>32.95013205</v>
      </c>
      <c r="P250" s="9">
        <v>15.0</v>
      </c>
      <c r="Q250" s="11" t="str">
        <f t="shared" si="9"/>
        <v>cobertura correcta</v>
      </c>
      <c r="R250" s="12"/>
      <c r="S250" s="8"/>
      <c r="T250" s="12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5.75" customHeight="1">
      <c r="A251" s="5" t="s">
        <v>499</v>
      </c>
      <c r="B251" s="6" t="s">
        <v>500</v>
      </c>
      <c r="C251" s="6">
        <f t="shared" si="1"/>
        <v>6079</v>
      </c>
      <c r="D251" s="6">
        <f t="shared" si="26"/>
        <v>193</v>
      </c>
      <c r="E251" s="7">
        <v>0.0</v>
      </c>
      <c r="F251" s="8"/>
      <c r="G251" s="6">
        <f t="shared" si="3"/>
        <v>3530</v>
      </c>
      <c r="H251" s="6">
        <f t="shared" si="4"/>
        <v>17595</v>
      </c>
      <c r="I251" s="6">
        <f t="shared" si="5"/>
        <v>26569</v>
      </c>
      <c r="J251" s="6">
        <f t="shared" si="6"/>
        <v>67388</v>
      </c>
      <c r="K251" s="9"/>
      <c r="L251" s="9"/>
      <c r="M251" s="9"/>
      <c r="N251" s="9">
        <f t="shared" si="7"/>
        <v>11.08537588</v>
      </c>
      <c r="O251" s="10">
        <f t="shared" si="8"/>
        <v>51.66288952</v>
      </c>
      <c r="P251" s="9">
        <v>15.0</v>
      </c>
      <c r="Q251" s="11" t="str">
        <f t="shared" si="9"/>
        <v>cobertura correcta</v>
      </c>
      <c r="R251" s="12"/>
      <c r="S251" s="8"/>
      <c r="T251" s="12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5.75" customHeight="1">
      <c r="A252" s="5" t="s">
        <v>501</v>
      </c>
      <c r="B252" s="6" t="s">
        <v>502</v>
      </c>
      <c r="C252" s="6">
        <f t="shared" si="1"/>
        <v>4389</v>
      </c>
      <c r="D252" s="6">
        <f t="shared" si="26"/>
        <v>244</v>
      </c>
      <c r="E252" s="7">
        <v>0.0</v>
      </c>
      <c r="F252" s="8"/>
      <c r="G252" s="6">
        <f t="shared" si="3"/>
        <v>1207</v>
      </c>
      <c r="H252" s="6">
        <f t="shared" si="4"/>
        <v>12450</v>
      </c>
      <c r="I252" s="6">
        <f t="shared" si="5"/>
        <v>23602</v>
      </c>
      <c r="J252" s="6">
        <f t="shared" si="6"/>
        <v>58117</v>
      </c>
      <c r="K252" s="9"/>
      <c r="L252" s="9"/>
      <c r="M252" s="9"/>
      <c r="N252" s="9">
        <f t="shared" si="7"/>
        <v>13.24151287</v>
      </c>
      <c r="O252" s="10">
        <f t="shared" si="8"/>
        <v>109.0886495</v>
      </c>
      <c r="P252" s="9">
        <v>15.0</v>
      </c>
      <c r="Q252" s="11" t="str">
        <f t="shared" si="9"/>
        <v>cobertura correcta</v>
      </c>
      <c r="R252" s="12"/>
      <c r="S252" s="8"/>
      <c r="T252" s="12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5.75" customHeight="1">
      <c r="A253" s="5" t="s">
        <v>503</v>
      </c>
      <c r="B253" s="6" t="s">
        <v>504</v>
      </c>
      <c r="C253" s="6">
        <f t="shared" si="1"/>
        <v>2868</v>
      </c>
      <c r="D253" s="6">
        <f t="shared" si="26"/>
        <v>146</v>
      </c>
      <c r="E253" s="7">
        <v>0.0</v>
      </c>
      <c r="F253" s="8"/>
      <c r="G253" s="6">
        <f t="shared" si="3"/>
        <v>7413</v>
      </c>
      <c r="H253" s="6">
        <f t="shared" si="4"/>
        <v>12106</v>
      </c>
      <c r="I253" s="6">
        <f t="shared" si="5"/>
        <v>20369</v>
      </c>
      <c r="J253" s="6">
        <f t="shared" si="6"/>
        <v>85348</v>
      </c>
      <c r="K253" s="9"/>
      <c r="L253" s="9"/>
      <c r="M253" s="9"/>
      <c r="N253" s="9">
        <f t="shared" si="7"/>
        <v>29.75871688</v>
      </c>
      <c r="O253" s="10">
        <f t="shared" si="8"/>
        <v>11.60663699</v>
      </c>
      <c r="P253" s="9">
        <v>15.0</v>
      </c>
      <c r="Q253" s="11" t="str">
        <f t="shared" si="9"/>
        <v>¡Compra YA!</v>
      </c>
      <c r="R253" s="12"/>
      <c r="S253" s="8"/>
      <c r="T253" s="12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5.75" customHeight="1">
      <c r="A254" s="5" t="s">
        <v>505</v>
      </c>
      <c r="B254" s="6" t="s">
        <v>506</v>
      </c>
      <c r="C254" s="6">
        <f t="shared" si="1"/>
        <v>7305</v>
      </c>
      <c r="D254" s="6">
        <f t="shared" si="26"/>
        <v>189</v>
      </c>
      <c r="E254" s="7">
        <v>0.0</v>
      </c>
      <c r="F254" s="8"/>
      <c r="G254" s="6">
        <f t="shared" si="3"/>
        <v>3741</v>
      </c>
      <c r="H254" s="6">
        <f t="shared" si="4"/>
        <v>9452</v>
      </c>
      <c r="I254" s="6">
        <f t="shared" si="5"/>
        <v>20503</v>
      </c>
      <c r="J254" s="6">
        <f t="shared" si="6"/>
        <v>70609</v>
      </c>
      <c r="K254" s="9"/>
      <c r="L254" s="9"/>
      <c r="M254" s="9"/>
      <c r="N254" s="9">
        <f t="shared" si="7"/>
        <v>9.665845311</v>
      </c>
      <c r="O254" s="10">
        <f t="shared" si="8"/>
        <v>58.58059342</v>
      </c>
      <c r="P254" s="9">
        <v>15.0</v>
      </c>
      <c r="Q254" s="11" t="str">
        <f t="shared" si="9"/>
        <v>cobertura correcta</v>
      </c>
      <c r="R254" s="12"/>
      <c r="S254" s="8"/>
      <c r="T254" s="12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5.75" customHeight="1">
      <c r="A255" s="5" t="s">
        <v>507</v>
      </c>
      <c r="B255" s="6" t="s">
        <v>508</v>
      </c>
      <c r="C255" s="6">
        <f t="shared" si="1"/>
        <v>6203</v>
      </c>
      <c r="D255" s="6">
        <f t="shared" si="26"/>
        <v>65</v>
      </c>
      <c r="E255" s="7">
        <v>0.0</v>
      </c>
      <c r="F255" s="8"/>
      <c r="G255" s="6">
        <f t="shared" si="3"/>
        <v>6409</v>
      </c>
      <c r="H255" s="6">
        <f t="shared" si="4"/>
        <v>16509</v>
      </c>
      <c r="I255" s="6">
        <f t="shared" si="5"/>
        <v>24150</v>
      </c>
      <c r="J255" s="6">
        <f t="shared" si="6"/>
        <v>78164</v>
      </c>
      <c r="K255" s="9"/>
      <c r="L255" s="9"/>
      <c r="M255" s="9"/>
      <c r="N255" s="9">
        <f t="shared" si="7"/>
        <v>12.60099952</v>
      </c>
      <c r="O255" s="10">
        <f t="shared" si="8"/>
        <v>29.035731</v>
      </c>
      <c r="P255" s="9">
        <v>15.0</v>
      </c>
      <c r="Q255" s="11" t="str">
        <f t="shared" si="9"/>
        <v>cobertura correcta</v>
      </c>
      <c r="R255" s="12"/>
      <c r="S255" s="8"/>
      <c r="T255" s="12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5.75" customHeight="1">
      <c r="A256" s="5" t="s">
        <v>509</v>
      </c>
      <c r="B256" s="6" t="s">
        <v>510</v>
      </c>
      <c r="C256" s="6">
        <f t="shared" si="1"/>
        <v>8656</v>
      </c>
      <c r="D256" s="6">
        <f t="shared" si="26"/>
        <v>217</v>
      </c>
      <c r="E256" s="7">
        <v>0.0</v>
      </c>
      <c r="F256" s="8"/>
      <c r="G256" s="6">
        <f t="shared" si="3"/>
        <v>4910</v>
      </c>
      <c r="H256" s="6">
        <f t="shared" si="4"/>
        <v>18260</v>
      </c>
      <c r="I256" s="6">
        <f t="shared" si="5"/>
        <v>20641</v>
      </c>
      <c r="J256" s="6">
        <f t="shared" si="6"/>
        <v>56327</v>
      </c>
      <c r="K256" s="9"/>
      <c r="L256" s="9"/>
      <c r="M256" s="9"/>
      <c r="N256" s="9">
        <f t="shared" si="7"/>
        <v>6.507278189</v>
      </c>
      <c r="O256" s="10">
        <f t="shared" si="8"/>
        <v>52.88798371</v>
      </c>
      <c r="P256" s="9">
        <v>15.0</v>
      </c>
      <c r="Q256" s="11" t="str">
        <f t="shared" si="9"/>
        <v>cobertura correcta</v>
      </c>
      <c r="R256" s="12"/>
      <c r="S256" s="8"/>
      <c r="T256" s="12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5.75" customHeight="1">
      <c r="A257" s="5" t="s">
        <v>511</v>
      </c>
      <c r="B257" s="6" t="s">
        <v>512</v>
      </c>
      <c r="C257" s="6">
        <f t="shared" si="1"/>
        <v>8204</v>
      </c>
      <c r="D257" s="6">
        <f t="shared" si="26"/>
        <v>84</v>
      </c>
      <c r="E257" s="7">
        <v>0.0</v>
      </c>
      <c r="F257" s="8"/>
      <c r="G257" s="6">
        <f t="shared" si="3"/>
        <v>7170</v>
      </c>
      <c r="H257" s="6">
        <f t="shared" si="4"/>
        <v>11174</v>
      </c>
      <c r="I257" s="6">
        <f t="shared" si="5"/>
        <v>20363</v>
      </c>
      <c r="J257" s="6">
        <f t="shared" si="6"/>
        <v>80668</v>
      </c>
      <c r="K257" s="9"/>
      <c r="L257" s="9"/>
      <c r="M257" s="9"/>
      <c r="N257" s="9">
        <f t="shared" si="7"/>
        <v>9.832764505</v>
      </c>
      <c r="O257" s="10">
        <f t="shared" si="8"/>
        <v>34.32635983</v>
      </c>
      <c r="P257" s="9">
        <v>15.0</v>
      </c>
      <c r="Q257" s="11" t="str">
        <f t="shared" si="9"/>
        <v>cobertura correcta</v>
      </c>
      <c r="R257" s="12"/>
      <c r="S257" s="8"/>
      <c r="T257" s="12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5.75" customHeight="1">
      <c r="A258" s="5" t="s">
        <v>513</v>
      </c>
      <c r="B258" s="6" t="s">
        <v>514</v>
      </c>
      <c r="C258" s="6">
        <f t="shared" si="1"/>
        <v>5879</v>
      </c>
      <c r="D258" s="6">
        <f t="shared" si="26"/>
        <v>194</v>
      </c>
      <c r="E258" s="7">
        <v>0.0</v>
      </c>
      <c r="F258" s="8"/>
      <c r="G258" s="6">
        <f t="shared" si="3"/>
        <v>2086</v>
      </c>
      <c r="H258" s="6">
        <f t="shared" si="4"/>
        <v>9716</v>
      </c>
      <c r="I258" s="6">
        <f t="shared" si="5"/>
        <v>24822</v>
      </c>
      <c r="J258" s="6">
        <f t="shared" si="6"/>
        <v>77828</v>
      </c>
      <c r="K258" s="9"/>
      <c r="L258" s="9"/>
      <c r="M258" s="9"/>
      <c r="N258" s="9">
        <f t="shared" si="7"/>
        <v>13.23830583</v>
      </c>
      <c r="O258" s="10">
        <f t="shared" si="8"/>
        <v>84.5493768</v>
      </c>
      <c r="P258" s="9">
        <v>15.0</v>
      </c>
      <c r="Q258" s="11" t="str">
        <f t="shared" si="9"/>
        <v>cobertura correcta</v>
      </c>
      <c r="R258" s="12"/>
      <c r="S258" s="8"/>
      <c r="T258" s="12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5.75" customHeight="1">
      <c r="A259" s="5" t="s">
        <v>515</v>
      </c>
      <c r="B259" s="6" t="s">
        <v>516</v>
      </c>
      <c r="C259" s="6">
        <f t="shared" si="1"/>
        <v>4930</v>
      </c>
      <c r="D259" s="6">
        <f t="shared" si="26"/>
        <v>307</v>
      </c>
      <c r="E259" s="7">
        <v>0.0</v>
      </c>
      <c r="F259" s="8"/>
      <c r="G259" s="6">
        <f t="shared" si="3"/>
        <v>5083</v>
      </c>
      <c r="H259" s="6">
        <f t="shared" si="4"/>
        <v>14982</v>
      </c>
      <c r="I259" s="6">
        <f t="shared" si="5"/>
        <v>20323</v>
      </c>
      <c r="J259" s="6">
        <f t="shared" si="6"/>
        <v>94588</v>
      </c>
      <c r="K259" s="9"/>
      <c r="L259" s="9"/>
      <c r="M259" s="9"/>
      <c r="N259" s="9">
        <f t="shared" si="7"/>
        <v>19.1862069</v>
      </c>
      <c r="O259" s="10">
        <f t="shared" si="8"/>
        <v>29.09698997</v>
      </c>
      <c r="P259" s="9">
        <v>15.0</v>
      </c>
      <c r="Q259" s="11" t="str">
        <f t="shared" si="9"/>
        <v>cobertura correcta</v>
      </c>
      <c r="R259" s="12"/>
      <c r="S259" s="8"/>
      <c r="T259" s="12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5.75" customHeight="1">
      <c r="A260" s="5" t="s">
        <v>517</v>
      </c>
      <c r="B260" s="6" t="s">
        <v>518</v>
      </c>
      <c r="C260" s="6">
        <f t="shared" si="1"/>
        <v>3707</v>
      </c>
      <c r="D260" s="6">
        <f t="shared" si="26"/>
        <v>10</v>
      </c>
      <c r="E260" s="7">
        <v>0.0</v>
      </c>
      <c r="F260" s="8"/>
      <c r="G260" s="6">
        <f t="shared" si="3"/>
        <v>4151</v>
      </c>
      <c r="H260" s="6">
        <f t="shared" si="4"/>
        <v>11068</v>
      </c>
      <c r="I260" s="6">
        <f t="shared" si="5"/>
        <v>27092</v>
      </c>
      <c r="J260" s="6">
        <f t="shared" si="6"/>
        <v>31918</v>
      </c>
      <c r="K260" s="9"/>
      <c r="L260" s="9"/>
      <c r="M260" s="9"/>
      <c r="N260" s="9">
        <f t="shared" si="7"/>
        <v>8.610196925</v>
      </c>
      <c r="O260" s="10">
        <f t="shared" si="8"/>
        <v>26.79113467</v>
      </c>
      <c r="P260" s="9">
        <v>15.0</v>
      </c>
      <c r="Q260" s="11" t="str">
        <f t="shared" si="9"/>
        <v>cobertura correcta</v>
      </c>
      <c r="R260" s="12"/>
      <c r="S260" s="8"/>
      <c r="T260" s="12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5.75" customHeight="1">
      <c r="A261" s="5" t="s">
        <v>519</v>
      </c>
      <c r="B261" s="6" t="s">
        <v>520</v>
      </c>
      <c r="C261" s="6">
        <f t="shared" si="1"/>
        <v>6046</v>
      </c>
      <c r="D261" s="6">
        <f t="shared" si="26"/>
        <v>208</v>
      </c>
      <c r="E261" s="7">
        <v>0.0</v>
      </c>
      <c r="F261" s="8"/>
      <c r="G261" s="6">
        <f t="shared" si="3"/>
        <v>4556</v>
      </c>
      <c r="H261" s="6">
        <f t="shared" si="4"/>
        <v>14496</v>
      </c>
      <c r="I261" s="6">
        <f t="shared" si="5"/>
        <v>21526</v>
      </c>
      <c r="J261" s="6">
        <f t="shared" si="6"/>
        <v>50135</v>
      </c>
      <c r="K261" s="9"/>
      <c r="L261" s="9"/>
      <c r="M261" s="9"/>
      <c r="N261" s="9">
        <f t="shared" si="7"/>
        <v>8.292259345</v>
      </c>
      <c r="O261" s="10">
        <f t="shared" si="8"/>
        <v>39.81123793</v>
      </c>
      <c r="P261" s="9">
        <v>15.0</v>
      </c>
      <c r="Q261" s="11" t="str">
        <f t="shared" si="9"/>
        <v>cobertura correcta</v>
      </c>
      <c r="R261" s="12"/>
      <c r="S261" s="8"/>
      <c r="T261" s="12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5.75" customHeight="1">
      <c r="A262" s="5" t="s">
        <v>521</v>
      </c>
      <c r="B262" s="6" t="s">
        <v>522</v>
      </c>
      <c r="C262" s="6">
        <f t="shared" si="1"/>
        <v>7458</v>
      </c>
      <c r="D262" s="6">
        <f t="shared" si="26"/>
        <v>211</v>
      </c>
      <c r="E262" s="7">
        <v>0.0</v>
      </c>
      <c r="F262" s="8"/>
      <c r="G262" s="6">
        <f t="shared" si="3"/>
        <v>5149</v>
      </c>
      <c r="H262" s="6">
        <f t="shared" si="4"/>
        <v>11274</v>
      </c>
      <c r="I262" s="6">
        <f t="shared" si="5"/>
        <v>28854</v>
      </c>
      <c r="J262" s="6">
        <f t="shared" si="6"/>
        <v>50929</v>
      </c>
      <c r="K262" s="9"/>
      <c r="L262" s="9"/>
      <c r="M262" s="9"/>
      <c r="N262" s="9">
        <f t="shared" si="7"/>
        <v>6.82877447</v>
      </c>
      <c r="O262" s="10">
        <f t="shared" si="8"/>
        <v>43.45309769</v>
      </c>
      <c r="P262" s="9">
        <v>15.0</v>
      </c>
      <c r="Q262" s="11" t="str">
        <f t="shared" si="9"/>
        <v>cobertura correcta</v>
      </c>
      <c r="R262" s="12"/>
      <c r="S262" s="8"/>
      <c r="T262" s="12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5.75" customHeight="1">
      <c r="A263" s="5" t="s">
        <v>523</v>
      </c>
      <c r="B263" s="6" t="s">
        <v>524</v>
      </c>
      <c r="C263" s="6">
        <f t="shared" si="1"/>
        <v>4442</v>
      </c>
      <c r="D263" s="6">
        <f t="shared" si="26"/>
        <v>48</v>
      </c>
      <c r="E263" s="7">
        <v>0.0</v>
      </c>
      <c r="F263" s="8"/>
      <c r="G263" s="6">
        <f t="shared" si="3"/>
        <v>7670</v>
      </c>
      <c r="H263" s="6">
        <f t="shared" si="4"/>
        <v>11309</v>
      </c>
      <c r="I263" s="6">
        <f t="shared" si="5"/>
        <v>19283</v>
      </c>
      <c r="J263" s="6">
        <f t="shared" si="6"/>
        <v>65489</v>
      </c>
      <c r="K263" s="9"/>
      <c r="L263" s="9"/>
      <c r="M263" s="9"/>
      <c r="N263" s="9">
        <f t="shared" si="7"/>
        <v>14.74313372</v>
      </c>
      <c r="O263" s="10">
        <f t="shared" si="8"/>
        <v>17.37418514</v>
      </c>
      <c r="P263" s="9">
        <v>15.0</v>
      </c>
      <c r="Q263" s="11" t="str">
        <f t="shared" si="9"/>
        <v>cobertura correcta</v>
      </c>
      <c r="R263" s="12"/>
      <c r="S263" s="8"/>
      <c r="T263" s="12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5.75" customHeight="1">
      <c r="A264" s="5" t="s">
        <v>525</v>
      </c>
      <c r="B264" s="6" t="s">
        <v>526</v>
      </c>
      <c r="C264" s="6">
        <f t="shared" si="1"/>
        <v>7180</v>
      </c>
      <c r="D264" s="6">
        <f t="shared" si="26"/>
        <v>73</v>
      </c>
      <c r="E264" s="7">
        <v>0.0</v>
      </c>
      <c r="F264" s="8"/>
      <c r="G264" s="6">
        <f t="shared" si="3"/>
        <v>1003</v>
      </c>
      <c r="H264" s="6">
        <f t="shared" si="4"/>
        <v>15608</v>
      </c>
      <c r="I264" s="6">
        <f t="shared" si="5"/>
        <v>25155</v>
      </c>
      <c r="J264" s="6">
        <f t="shared" si="6"/>
        <v>43311</v>
      </c>
      <c r="K264" s="9"/>
      <c r="L264" s="9"/>
      <c r="M264" s="9"/>
      <c r="N264" s="9">
        <f t="shared" si="7"/>
        <v>6.032172702</v>
      </c>
      <c r="O264" s="10">
        <f t="shared" si="8"/>
        <v>214.7557328</v>
      </c>
      <c r="P264" s="9">
        <v>15.0</v>
      </c>
      <c r="Q264" s="11" t="str">
        <f t="shared" si="9"/>
        <v>cobertura correcta</v>
      </c>
      <c r="R264" s="12"/>
      <c r="S264" s="8"/>
      <c r="T264" s="12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5.75" customHeight="1">
      <c r="A265" s="5" t="s">
        <v>527</v>
      </c>
      <c r="B265" s="6" t="s">
        <v>528</v>
      </c>
      <c r="C265" s="6">
        <f t="shared" si="1"/>
        <v>7322</v>
      </c>
      <c r="D265" s="6">
        <f t="shared" si="26"/>
        <v>60</v>
      </c>
      <c r="E265" s="7">
        <v>0.0</v>
      </c>
      <c r="F265" s="8"/>
      <c r="G265" s="6">
        <f t="shared" si="3"/>
        <v>6386</v>
      </c>
      <c r="H265" s="6">
        <f t="shared" si="4"/>
        <v>13951</v>
      </c>
      <c r="I265" s="6">
        <f t="shared" si="5"/>
        <v>19107</v>
      </c>
      <c r="J265" s="6">
        <f t="shared" si="6"/>
        <v>72007</v>
      </c>
      <c r="K265" s="9"/>
      <c r="L265" s="9"/>
      <c r="M265" s="9"/>
      <c r="N265" s="9">
        <f t="shared" si="7"/>
        <v>9.834334881</v>
      </c>
      <c r="O265" s="10">
        <f t="shared" si="8"/>
        <v>34.3971187</v>
      </c>
      <c r="P265" s="9">
        <v>15.0</v>
      </c>
      <c r="Q265" s="11" t="str">
        <f t="shared" si="9"/>
        <v>cobertura correcta</v>
      </c>
      <c r="R265" s="12"/>
      <c r="S265" s="8"/>
      <c r="T265" s="12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5.75" customHeight="1">
      <c r="A266" s="5" t="s">
        <v>529</v>
      </c>
      <c r="B266" s="6" t="s">
        <v>530</v>
      </c>
      <c r="C266" s="6">
        <f t="shared" si="1"/>
        <v>6078</v>
      </c>
      <c r="D266" s="6">
        <f t="shared" si="26"/>
        <v>329</v>
      </c>
      <c r="E266" s="7">
        <v>0.0</v>
      </c>
      <c r="F266" s="8"/>
      <c r="G266" s="6">
        <f t="shared" si="3"/>
        <v>6012</v>
      </c>
      <c r="H266" s="6">
        <f t="shared" si="4"/>
        <v>16376</v>
      </c>
      <c r="I266" s="6">
        <f t="shared" si="5"/>
        <v>28353</v>
      </c>
      <c r="J266" s="6">
        <f t="shared" si="6"/>
        <v>69267</v>
      </c>
      <c r="K266" s="9"/>
      <c r="L266" s="9"/>
      <c r="M266" s="9"/>
      <c r="N266" s="9">
        <f t="shared" si="7"/>
        <v>11.39634748</v>
      </c>
      <c r="O266" s="10">
        <f t="shared" si="8"/>
        <v>30.32934132</v>
      </c>
      <c r="P266" s="9">
        <v>15.0</v>
      </c>
      <c r="Q266" s="11" t="str">
        <f t="shared" si="9"/>
        <v>cobertura correcta</v>
      </c>
      <c r="R266" s="12"/>
      <c r="S266" s="8"/>
      <c r="T266" s="12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5.75" customHeight="1">
      <c r="A267" s="5" t="s">
        <v>531</v>
      </c>
      <c r="B267" s="6" t="s">
        <v>532</v>
      </c>
      <c r="C267" s="6">
        <f t="shared" si="1"/>
        <v>2752</v>
      </c>
      <c r="D267" s="6">
        <f t="shared" si="26"/>
        <v>130</v>
      </c>
      <c r="E267" s="7">
        <v>0.0</v>
      </c>
      <c r="F267" s="8"/>
      <c r="G267" s="6">
        <f t="shared" si="3"/>
        <v>2163</v>
      </c>
      <c r="H267" s="6">
        <f t="shared" si="4"/>
        <v>17268</v>
      </c>
      <c r="I267" s="6">
        <f t="shared" si="5"/>
        <v>19861</v>
      </c>
      <c r="J267" s="6">
        <f t="shared" si="6"/>
        <v>70568</v>
      </c>
      <c r="K267" s="9"/>
      <c r="L267" s="9"/>
      <c r="M267" s="9"/>
      <c r="N267" s="9">
        <f t="shared" si="7"/>
        <v>25.64244186</v>
      </c>
      <c r="O267" s="10">
        <f t="shared" si="8"/>
        <v>38.16920943</v>
      </c>
      <c r="P267" s="9">
        <v>15.0</v>
      </c>
      <c r="Q267" s="11" t="str">
        <f t="shared" si="9"/>
        <v>cobertura correcta</v>
      </c>
      <c r="R267" s="12"/>
      <c r="S267" s="8"/>
      <c r="T267" s="12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5.75" customHeight="1">
      <c r="A268" s="5" t="s">
        <v>533</v>
      </c>
      <c r="B268" s="6" t="s">
        <v>534</v>
      </c>
      <c r="C268" s="6">
        <f t="shared" si="1"/>
        <v>7839</v>
      </c>
      <c r="D268" s="6">
        <f t="shared" si="26"/>
        <v>205</v>
      </c>
      <c r="E268" s="7">
        <v>0.0</v>
      </c>
      <c r="F268" s="8"/>
      <c r="G268" s="6">
        <f t="shared" si="3"/>
        <v>6582</v>
      </c>
      <c r="H268" s="6">
        <f t="shared" si="4"/>
        <v>14463</v>
      </c>
      <c r="I268" s="6">
        <f t="shared" si="5"/>
        <v>21047</v>
      </c>
      <c r="J268" s="6">
        <f t="shared" si="6"/>
        <v>59857</v>
      </c>
      <c r="K268" s="9"/>
      <c r="L268" s="9"/>
      <c r="M268" s="9"/>
      <c r="N268" s="9">
        <f t="shared" si="7"/>
        <v>7.635795382</v>
      </c>
      <c r="O268" s="10">
        <f t="shared" si="8"/>
        <v>35.72926162</v>
      </c>
      <c r="P268" s="9">
        <v>15.0</v>
      </c>
      <c r="Q268" s="11" t="str">
        <f t="shared" si="9"/>
        <v>cobertura correcta</v>
      </c>
      <c r="R268" s="12"/>
      <c r="S268" s="8"/>
      <c r="T268" s="12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5.75" customHeight="1">
      <c r="A269" s="5" t="s">
        <v>535</v>
      </c>
      <c r="B269" s="6" t="s">
        <v>536</v>
      </c>
      <c r="C269" s="6">
        <f t="shared" si="1"/>
        <v>5799</v>
      </c>
      <c r="D269" s="6">
        <f t="shared" si="26"/>
        <v>301</v>
      </c>
      <c r="E269" s="7">
        <v>0.0</v>
      </c>
      <c r="F269" s="8"/>
      <c r="G269" s="6">
        <f t="shared" si="3"/>
        <v>8955</v>
      </c>
      <c r="H269" s="6">
        <f t="shared" si="4"/>
        <v>18795</v>
      </c>
      <c r="I269" s="6">
        <f t="shared" si="5"/>
        <v>20315</v>
      </c>
      <c r="J269" s="6">
        <f t="shared" si="6"/>
        <v>92810</v>
      </c>
      <c r="K269" s="9"/>
      <c r="L269" s="9"/>
      <c r="M269" s="9"/>
      <c r="N269" s="9">
        <f t="shared" si="7"/>
        <v>16.00448353</v>
      </c>
      <c r="O269" s="10">
        <f t="shared" si="8"/>
        <v>19.42713568</v>
      </c>
      <c r="P269" s="9">
        <v>15.0</v>
      </c>
      <c r="Q269" s="11" t="str">
        <f t="shared" si="9"/>
        <v>cobertura correcta</v>
      </c>
      <c r="R269" s="12"/>
      <c r="S269" s="8"/>
      <c r="T269" s="12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5.75" customHeight="1">
      <c r="A270" s="5" t="s">
        <v>537</v>
      </c>
      <c r="B270" s="6" t="s">
        <v>538</v>
      </c>
      <c r="C270" s="6">
        <f t="shared" si="1"/>
        <v>2511</v>
      </c>
      <c r="D270" s="6">
        <f t="shared" si="26"/>
        <v>239</v>
      </c>
      <c r="E270" s="7">
        <v>0.0</v>
      </c>
      <c r="F270" s="8"/>
      <c r="G270" s="6">
        <f t="shared" si="3"/>
        <v>7494</v>
      </c>
      <c r="H270" s="6">
        <f t="shared" si="4"/>
        <v>9362</v>
      </c>
      <c r="I270" s="6">
        <f t="shared" si="5"/>
        <v>24539</v>
      </c>
      <c r="J270" s="6">
        <f t="shared" si="6"/>
        <v>30804</v>
      </c>
      <c r="K270" s="9"/>
      <c r="L270" s="9"/>
      <c r="M270" s="9"/>
      <c r="N270" s="9">
        <f t="shared" si="7"/>
        <v>12.26762246</v>
      </c>
      <c r="O270" s="10">
        <f t="shared" si="8"/>
        <v>10.05204163</v>
      </c>
      <c r="P270" s="9">
        <v>15.0</v>
      </c>
      <c r="Q270" s="11" t="str">
        <f t="shared" si="9"/>
        <v>¡Compra YA!</v>
      </c>
      <c r="R270" s="12"/>
      <c r="S270" s="8"/>
      <c r="T270" s="12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5.75" customHeight="1">
      <c r="A271" s="5" t="s">
        <v>539</v>
      </c>
      <c r="B271" s="6" t="s">
        <v>540</v>
      </c>
      <c r="C271" s="6">
        <f t="shared" si="1"/>
        <v>7949</v>
      </c>
      <c r="D271" s="6">
        <f t="shared" si="26"/>
        <v>61</v>
      </c>
      <c r="E271" s="7">
        <v>0.0</v>
      </c>
      <c r="F271" s="8"/>
      <c r="G271" s="6">
        <f t="shared" si="3"/>
        <v>7088</v>
      </c>
      <c r="H271" s="6">
        <f t="shared" si="4"/>
        <v>13556</v>
      </c>
      <c r="I271" s="6">
        <f t="shared" si="5"/>
        <v>27419</v>
      </c>
      <c r="J271" s="6">
        <f t="shared" si="6"/>
        <v>64401</v>
      </c>
      <c r="K271" s="9"/>
      <c r="L271" s="9"/>
      <c r="M271" s="9"/>
      <c r="N271" s="9">
        <f t="shared" si="7"/>
        <v>8.101773808</v>
      </c>
      <c r="O271" s="10">
        <f t="shared" si="8"/>
        <v>33.64418736</v>
      </c>
      <c r="P271" s="9">
        <v>15.0</v>
      </c>
      <c r="Q271" s="11" t="str">
        <f t="shared" si="9"/>
        <v>cobertura correcta</v>
      </c>
      <c r="R271" s="12"/>
      <c r="S271" s="8"/>
      <c r="T271" s="12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5.75" customHeight="1">
      <c r="A272" s="5" t="s">
        <v>541</v>
      </c>
      <c r="B272" s="6" t="s">
        <v>542</v>
      </c>
      <c r="C272" s="6">
        <f t="shared" si="1"/>
        <v>2340</v>
      </c>
      <c r="D272" s="6">
        <f t="shared" si="26"/>
        <v>322</v>
      </c>
      <c r="E272" s="7">
        <v>0.0</v>
      </c>
      <c r="F272" s="8"/>
      <c r="G272" s="6">
        <f t="shared" si="3"/>
        <v>4789</v>
      </c>
      <c r="H272" s="6">
        <f t="shared" si="4"/>
        <v>9602</v>
      </c>
      <c r="I272" s="6">
        <f t="shared" si="5"/>
        <v>21330</v>
      </c>
      <c r="J272" s="6">
        <f t="shared" si="6"/>
        <v>37863</v>
      </c>
      <c r="K272" s="9"/>
      <c r="L272" s="9"/>
      <c r="M272" s="9"/>
      <c r="N272" s="9">
        <f t="shared" si="7"/>
        <v>16.18076923</v>
      </c>
      <c r="O272" s="10">
        <f t="shared" si="8"/>
        <v>14.65859261</v>
      </c>
      <c r="P272" s="9">
        <v>15.0</v>
      </c>
      <c r="Q272" s="11" t="str">
        <f t="shared" si="9"/>
        <v>¡Compra YA!</v>
      </c>
      <c r="R272" s="12"/>
      <c r="S272" s="8"/>
      <c r="T272" s="12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5.75" customHeight="1">
      <c r="A273" s="5" t="s">
        <v>543</v>
      </c>
      <c r="B273" s="6" t="s">
        <v>544</v>
      </c>
      <c r="C273" s="6">
        <f t="shared" si="1"/>
        <v>6501</v>
      </c>
      <c r="D273" s="6">
        <f t="shared" si="26"/>
        <v>309</v>
      </c>
      <c r="E273" s="7">
        <v>0.0</v>
      </c>
      <c r="F273" s="8"/>
      <c r="G273" s="6">
        <f t="shared" si="3"/>
        <v>1243</v>
      </c>
      <c r="H273" s="6">
        <f t="shared" si="4"/>
        <v>16181</v>
      </c>
      <c r="I273" s="6">
        <f t="shared" si="5"/>
        <v>27904</v>
      </c>
      <c r="J273" s="6">
        <f t="shared" si="6"/>
        <v>59294</v>
      </c>
      <c r="K273" s="9"/>
      <c r="L273" s="9"/>
      <c r="M273" s="9"/>
      <c r="N273" s="9">
        <f t="shared" si="7"/>
        <v>9.120750654</v>
      </c>
      <c r="O273" s="10">
        <f t="shared" si="8"/>
        <v>156.9026549</v>
      </c>
      <c r="P273" s="9">
        <v>15.0</v>
      </c>
      <c r="Q273" s="11" t="str">
        <f t="shared" si="9"/>
        <v>cobertura correcta</v>
      </c>
      <c r="R273" s="12"/>
      <c r="S273" s="8"/>
      <c r="T273" s="12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5.75" customHeight="1">
      <c r="A274" s="5" t="s">
        <v>545</v>
      </c>
      <c r="B274" s="6" t="s">
        <v>546</v>
      </c>
      <c r="C274" s="6">
        <f t="shared" si="1"/>
        <v>4547</v>
      </c>
      <c r="D274" s="6">
        <f t="shared" si="26"/>
        <v>215</v>
      </c>
      <c r="E274" s="7">
        <v>0.0</v>
      </c>
      <c r="F274" s="8"/>
      <c r="G274" s="6">
        <f t="shared" si="3"/>
        <v>3057</v>
      </c>
      <c r="H274" s="6">
        <f t="shared" si="4"/>
        <v>12888</v>
      </c>
      <c r="I274" s="6">
        <f t="shared" si="5"/>
        <v>22719</v>
      </c>
      <c r="J274" s="6">
        <f t="shared" si="6"/>
        <v>59998</v>
      </c>
      <c r="K274" s="9"/>
      <c r="L274" s="9"/>
      <c r="M274" s="9"/>
      <c r="N274" s="9">
        <f t="shared" si="7"/>
        <v>13.19507367</v>
      </c>
      <c r="O274" s="10">
        <f t="shared" si="8"/>
        <v>44.62217861</v>
      </c>
      <c r="P274" s="9">
        <v>15.0</v>
      </c>
      <c r="Q274" s="11" t="str">
        <f t="shared" si="9"/>
        <v>cobertura correcta</v>
      </c>
      <c r="R274" s="12"/>
      <c r="S274" s="8"/>
      <c r="T274" s="12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5.75" customHeight="1">
      <c r="A275" s="5" t="s">
        <v>547</v>
      </c>
      <c r="B275" s="6" t="s">
        <v>548</v>
      </c>
      <c r="C275" s="6">
        <f t="shared" si="1"/>
        <v>6198</v>
      </c>
      <c r="D275" s="6">
        <f t="shared" si="26"/>
        <v>348</v>
      </c>
      <c r="E275" s="7">
        <v>0.0</v>
      </c>
      <c r="F275" s="8"/>
      <c r="G275" s="6">
        <f t="shared" si="3"/>
        <v>6800</v>
      </c>
      <c r="H275" s="6">
        <f t="shared" si="4"/>
        <v>18984</v>
      </c>
      <c r="I275" s="6">
        <f t="shared" si="5"/>
        <v>24029</v>
      </c>
      <c r="J275" s="6">
        <f t="shared" si="6"/>
        <v>34143</v>
      </c>
      <c r="K275" s="9"/>
      <c r="L275" s="9"/>
      <c r="M275" s="9"/>
      <c r="N275" s="9">
        <f t="shared" si="7"/>
        <v>5.508712488</v>
      </c>
      <c r="O275" s="10">
        <f t="shared" si="8"/>
        <v>27.34411765</v>
      </c>
      <c r="P275" s="9">
        <v>15.0</v>
      </c>
      <c r="Q275" s="11" t="str">
        <f t="shared" si="9"/>
        <v>cobertura correcta</v>
      </c>
      <c r="R275" s="12"/>
      <c r="S275" s="8"/>
      <c r="T275" s="12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5.75" customHeight="1">
      <c r="A276" s="5" t="s">
        <v>549</v>
      </c>
      <c r="B276" s="6" t="s">
        <v>550</v>
      </c>
      <c r="C276" s="6">
        <f t="shared" si="1"/>
        <v>7499</v>
      </c>
      <c r="D276" s="6">
        <f t="shared" si="26"/>
        <v>350</v>
      </c>
      <c r="E276" s="7">
        <v>0.0</v>
      </c>
      <c r="F276" s="8"/>
      <c r="G276" s="6">
        <f t="shared" si="3"/>
        <v>4743</v>
      </c>
      <c r="H276" s="6">
        <f t="shared" si="4"/>
        <v>16109</v>
      </c>
      <c r="I276" s="6">
        <f t="shared" si="5"/>
        <v>22159</v>
      </c>
      <c r="J276" s="6">
        <f t="shared" si="6"/>
        <v>45962</v>
      </c>
      <c r="K276" s="9"/>
      <c r="L276" s="9"/>
      <c r="M276" s="9"/>
      <c r="N276" s="9">
        <f t="shared" si="7"/>
        <v>6.129083878</v>
      </c>
      <c r="O276" s="10">
        <f t="shared" si="8"/>
        <v>47.43200506</v>
      </c>
      <c r="P276" s="9">
        <v>15.0</v>
      </c>
      <c r="Q276" s="11" t="str">
        <f t="shared" si="9"/>
        <v>cobertura correcta</v>
      </c>
      <c r="R276" s="12"/>
      <c r="S276" s="8"/>
      <c r="T276" s="12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5.75" customHeight="1">
      <c r="A277" s="5" t="s">
        <v>551</v>
      </c>
      <c r="B277" s="6" t="s">
        <v>552</v>
      </c>
      <c r="C277" s="6">
        <f t="shared" si="1"/>
        <v>8628</v>
      </c>
      <c r="D277" s="6">
        <f t="shared" si="26"/>
        <v>105</v>
      </c>
      <c r="E277" s="7">
        <v>0.0</v>
      </c>
      <c r="F277" s="8"/>
      <c r="G277" s="6">
        <f t="shared" si="3"/>
        <v>3232</v>
      </c>
      <c r="H277" s="6">
        <f t="shared" si="4"/>
        <v>13458</v>
      </c>
      <c r="I277" s="6">
        <f t="shared" si="5"/>
        <v>22916</v>
      </c>
      <c r="J277" s="6">
        <f t="shared" si="6"/>
        <v>75226</v>
      </c>
      <c r="K277" s="9"/>
      <c r="L277" s="9"/>
      <c r="M277" s="9"/>
      <c r="N277" s="9">
        <f t="shared" si="7"/>
        <v>8.718822439</v>
      </c>
      <c r="O277" s="10">
        <f t="shared" si="8"/>
        <v>80.08663366</v>
      </c>
      <c r="P277" s="9">
        <v>15.0</v>
      </c>
      <c r="Q277" s="11" t="str">
        <f t="shared" si="9"/>
        <v>cobertura correcta</v>
      </c>
      <c r="R277" s="12"/>
      <c r="S277" s="8"/>
      <c r="T277" s="12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5.75" customHeight="1">
      <c r="A278" s="5" t="s">
        <v>553</v>
      </c>
      <c r="B278" s="6" t="s">
        <v>554</v>
      </c>
      <c r="C278" s="6">
        <f t="shared" si="1"/>
        <v>6512</v>
      </c>
      <c r="D278" s="6">
        <f t="shared" si="26"/>
        <v>180</v>
      </c>
      <c r="E278" s="7">
        <v>0.0</v>
      </c>
      <c r="F278" s="8"/>
      <c r="G278" s="6">
        <f t="shared" si="3"/>
        <v>8023</v>
      </c>
      <c r="H278" s="6">
        <f t="shared" si="4"/>
        <v>10524</v>
      </c>
      <c r="I278" s="6">
        <f t="shared" si="5"/>
        <v>25594</v>
      </c>
      <c r="J278" s="6">
        <f t="shared" si="6"/>
        <v>78443</v>
      </c>
      <c r="K278" s="9"/>
      <c r="L278" s="9"/>
      <c r="M278" s="9"/>
      <c r="N278" s="9">
        <f t="shared" si="7"/>
        <v>12.04591523</v>
      </c>
      <c r="O278" s="10">
        <f t="shared" si="8"/>
        <v>24.34999377</v>
      </c>
      <c r="P278" s="9">
        <v>15.0</v>
      </c>
      <c r="Q278" s="11" t="str">
        <f t="shared" si="9"/>
        <v>cobertura correcta</v>
      </c>
      <c r="R278" s="12"/>
      <c r="S278" s="8"/>
      <c r="T278" s="12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5.75" customHeight="1">
      <c r="A279" s="5" t="s">
        <v>555</v>
      </c>
      <c r="B279" s="6" t="s">
        <v>556</v>
      </c>
      <c r="C279" s="6">
        <f t="shared" si="1"/>
        <v>2412</v>
      </c>
      <c r="D279" s="6">
        <f t="shared" si="26"/>
        <v>224</v>
      </c>
      <c r="E279" s="7">
        <v>0.0</v>
      </c>
      <c r="F279" s="8"/>
      <c r="G279" s="6">
        <f t="shared" si="3"/>
        <v>1534</v>
      </c>
      <c r="H279" s="6">
        <f t="shared" si="4"/>
        <v>18822</v>
      </c>
      <c r="I279" s="6">
        <f t="shared" si="5"/>
        <v>19229</v>
      </c>
      <c r="J279" s="6">
        <f t="shared" si="6"/>
        <v>82159</v>
      </c>
      <c r="K279" s="9"/>
      <c r="L279" s="9"/>
      <c r="M279" s="9"/>
      <c r="N279" s="9">
        <f t="shared" si="7"/>
        <v>34.06260365</v>
      </c>
      <c r="O279" s="10">
        <f t="shared" si="8"/>
        <v>47.17079531</v>
      </c>
      <c r="P279" s="9">
        <v>15.0</v>
      </c>
      <c r="Q279" s="11" t="str">
        <f t="shared" si="9"/>
        <v>cobertura correcta</v>
      </c>
      <c r="R279" s="12"/>
      <c r="S279" s="8"/>
      <c r="T279" s="12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5.75" customHeight="1">
      <c r="A280" s="5" t="s">
        <v>557</v>
      </c>
      <c r="B280" s="6" t="s">
        <v>558</v>
      </c>
      <c r="C280" s="6">
        <f t="shared" si="1"/>
        <v>2854</v>
      </c>
      <c r="D280" s="6">
        <f t="shared" si="26"/>
        <v>222</v>
      </c>
      <c r="E280" s="7">
        <v>0.0</v>
      </c>
      <c r="F280" s="8"/>
      <c r="G280" s="6">
        <f t="shared" si="3"/>
        <v>4549</v>
      </c>
      <c r="H280" s="6">
        <f t="shared" si="4"/>
        <v>11326</v>
      </c>
      <c r="I280" s="6">
        <f t="shared" si="5"/>
        <v>24969</v>
      </c>
      <c r="J280" s="6">
        <f t="shared" si="6"/>
        <v>37473</v>
      </c>
      <c r="K280" s="9"/>
      <c r="L280" s="9"/>
      <c r="M280" s="9"/>
      <c r="N280" s="9">
        <f t="shared" si="7"/>
        <v>13.12999299</v>
      </c>
      <c r="O280" s="10">
        <f t="shared" si="8"/>
        <v>18.82171906</v>
      </c>
      <c r="P280" s="9">
        <v>15.0</v>
      </c>
      <c r="Q280" s="11" t="str">
        <f t="shared" si="9"/>
        <v>cobertura correcta</v>
      </c>
      <c r="R280" s="12"/>
      <c r="S280" s="8"/>
      <c r="T280" s="12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5.75" customHeight="1">
      <c r="A281" s="5" t="s">
        <v>559</v>
      </c>
      <c r="B281" s="6" t="s">
        <v>560</v>
      </c>
      <c r="C281" s="6">
        <f t="shared" si="1"/>
        <v>1145</v>
      </c>
      <c r="D281" s="6">
        <f t="shared" si="26"/>
        <v>295</v>
      </c>
      <c r="E281" s="7">
        <v>0.0</v>
      </c>
      <c r="F281" s="8"/>
      <c r="G281" s="6">
        <f t="shared" si="3"/>
        <v>3904</v>
      </c>
      <c r="H281" s="6">
        <f t="shared" si="4"/>
        <v>18182</v>
      </c>
      <c r="I281" s="6">
        <f t="shared" si="5"/>
        <v>25814</v>
      </c>
      <c r="J281" s="6">
        <f t="shared" si="6"/>
        <v>58845</v>
      </c>
      <c r="K281" s="9"/>
      <c r="L281" s="9"/>
      <c r="M281" s="9"/>
      <c r="N281" s="9">
        <f t="shared" si="7"/>
        <v>51.3930131</v>
      </c>
      <c r="O281" s="10">
        <f t="shared" si="8"/>
        <v>8.798668033</v>
      </c>
      <c r="P281" s="9">
        <v>15.0</v>
      </c>
      <c r="Q281" s="11" t="str">
        <f t="shared" si="9"/>
        <v>¡Compra YA!</v>
      </c>
      <c r="R281" s="12"/>
      <c r="S281" s="8"/>
      <c r="T281" s="12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5.75" customHeight="1">
      <c r="A282" s="5" t="s">
        <v>561</v>
      </c>
      <c r="B282" s="6"/>
      <c r="C282" s="6">
        <f t="shared" si="1"/>
        <v>8157</v>
      </c>
      <c r="D282" s="6">
        <f t="shared" si="26"/>
        <v>153</v>
      </c>
      <c r="E282" s="7">
        <v>0.0</v>
      </c>
      <c r="F282" s="8"/>
      <c r="G282" s="6">
        <f t="shared" si="3"/>
        <v>3007</v>
      </c>
      <c r="H282" s="6">
        <f t="shared" si="4"/>
        <v>13242</v>
      </c>
      <c r="I282" s="6">
        <f t="shared" si="5"/>
        <v>25843</v>
      </c>
      <c r="J282" s="6">
        <f t="shared" si="6"/>
        <v>38954</v>
      </c>
      <c r="K282" s="9"/>
      <c r="L282" s="9"/>
      <c r="M282" s="9"/>
      <c r="N282" s="9">
        <f t="shared" si="7"/>
        <v>4.775530219</v>
      </c>
      <c r="O282" s="10">
        <f t="shared" si="8"/>
        <v>81.38011307</v>
      </c>
      <c r="P282" s="9">
        <v>15.0</v>
      </c>
      <c r="Q282" s="11" t="str">
        <f t="shared" si="9"/>
        <v>cobertura correcta</v>
      </c>
      <c r="R282" s="12"/>
      <c r="S282" s="8"/>
      <c r="T282" s="12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5.75" customHeight="1">
      <c r="A283" s="5" t="s">
        <v>562</v>
      </c>
      <c r="B283" s="6" t="s">
        <v>563</v>
      </c>
      <c r="C283" s="6">
        <f t="shared" si="1"/>
        <v>2343</v>
      </c>
      <c r="D283" s="6">
        <f t="shared" si="26"/>
        <v>232</v>
      </c>
      <c r="E283" s="7">
        <v>0.0</v>
      </c>
      <c r="F283" s="8"/>
      <c r="G283" s="6">
        <f t="shared" si="3"/>
        <v>2061</v>
      </c>
      <c r="H283" s="6">
        <f t="shared" si="4"/>
        <v>10422</v>
      </c>
      <c r="I283" s="6">
        <f t="shared" si="5"/>
        <v>22287</v>
      </c>
      <c r="J283" s="6">
        <f t="shared" si="6"/>
        <v>34300</v>
      </c>
      <c r="K283" s="9"/>
      <c r="L283" s="9"/>
      <c r="M283" s="9"/>
      <c r="N283" s="9">
        <f t="shared" si="7"/>
        <v>14.63935126</v>
      </c>
      <c r="O283" s="10">
        <f t="shared" si="8"/>
        <v>34.10480349</v>
      </c>
      <c r="P283" s="9">
        <v>15.0</v>
      </c>
      <c r="Q283" s="11" t="str">
        <f t="shared" si="9"/>
        <v>cobertura correcta</v>
      </c>
      <c r="R283" s="12"/>
      <c r="S283" s="8"/>
      <c r="T283" s="12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5.75" customHeight="1">
      <c r="A284" s="5" t="s">
        <v>564</v>
      </c>
      <c r="B284" s="6" t="s">
        <v>565</v>
      </c>
      <c r="C284" s="6">
        <f t="shared" si="1"/>
        <v>8811</v>
      </c>
      <c r="D284" s="6">
        <f t="shared" si="26"/>
        <v>231</v>
      </c>
      <c r="E284" s="7">
        <v>0.0</v>
      </c>
      <c r="F284" s="8"/>
      <c r="G284" s="6">
        <f t="shared" si="3"/>
        <v>6929</v>
      </c>
      <c r="H284" s="6">
        <f t="shared" si="4"/>
        <v>13474</v>
      </c>
      <c r="I284" s="6">
        <f t="shared" si="5"/>
        <v>24595</v>
      </c>
      <c r="J284" s="6">
        <f t="shared" si="6"/>
        <v>38093</v>
      </c>
      <c r="K284" s="9"/>
      <c r="L284" s="9"/>
      <c r="M284" s="9"/>
      <c r="N284" s="9">
        <f t="shared" si="7"/>
        <v>4.323345818</v>
      </c>
      <c r="O284" s="10">
        <f t="shared" si="8"/>
        <v>38.14836196</v>
      </c>
      <c r="P284" s="9">
        <v>15.0</v>
      </c>
      <c r="Q284" s="11" t="str">
        <f t="shared" si="9"/>
        <v>cobertura correcta</v>
      </c>
      <c r="R284" s="12"/>
      <c r="S284" s="8"/>
      <c r="T284" s="12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5.75" customHeight="1">
      <c r="A285" s="5" t="s">
        <v>566</v>
      </c>
      <c r="B285" s="6" t="s">
        <v>567</v>
      </c>
      <c r="C285" s="6">
        <f t="shared" si="1"/>
        <v>6702</v>
      </c>
      <c r="D285" s="6" t="s">
        <v>568</v>
      </c>
      <c r="E285" s="7">
        <v>0.0</v>
      </c>
      <c r="F285" s="8"/>
      <c r="G285" s="6">
        <f t="shared" si="3"/>
        <v>1911</v>
      </c>
      <c r="H285" s="6">
        <f t="shared" si="4"/>
        <v>13933</v>
      </c>
      <c r="I285" s="6">
        <f t="shared" si="5"/>
        <v>19636</v>
      </c>
      <c r="J285" s="6">
        <f t="shared" si="6"/>
        <v>90603</v>
      </c>
      <c r="K285" s="9"/>
      <c r="L285" s="9"/>
      <c r="M285" s="9"/>
      <c r="N285" s="9">
        <f t="shared" si="7"/>
        <v>13.51880036</v>
      </c>
      <c r="O285" s="10">
        <f t="shared" si="8"/>
        <v>105.2119309</v>
      </c>
      <c r="P285" s="9">
        <v>15.0</v>
      </c>
      <c r="Q285" s="11" t="str">
        <f t="shared" si="9"/>
        <v>cobertura correcta</v>
      </c>
      <c r="R285" s="12"/>
      <c r="S285" s="8"/>
      <c r="T285" s="12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5.75" customHeight="1">
      <c r="A286" s="5" t="s">
        <v>569</v>
      </c>
      <c r="B286" s="6" t="s">
        <v>570</v>
      </c>
      <c r="C286" s="6">
        <f t="shared" si="1"/>
        <v>4076</v>
      </c>
      <c r="D286" s="6">
        <f t="shared" ref="D286:D289" si="35">RANDBETWEEN(0, 350)</f>
        <v>252</v>
      </c>
      <c r="E286" s="7">
        <v>0.0</v>
      </c>
      <c r="F286" s="8"/>
      <c r="G286" s="6">
        <f t="shared" si="3"/>
        <v>5003</v>
      </c>
      <c r="H286" s="6">
        <f t="shared" si="4"/>
        <v>18895</v>
      </c>
      <c r="I286" s="6">
        <f t="shared" si="5"/>
        <v>22032</v>
      </c>
      <c r="J286" s="6">
        <f t="shared" si="6"/>
        <v>87410</v>
      </c>
      <c r="K286" s="9"/>
      <c r="L286" s="9"/>
      <c r="M286" s="9"/>
      <c r="N286" s="9">
        <f t="shared" si="7"/>
        <v>21.44504416</v>
      </c>
      <c r="O286" s="10">
        <f t="shared" si="8"/>
        <v>24.4413352</v>
      </c>
      <c r="P286" s="9">
        <v>15.0</v>
      </c>
      <c r="Q286" s="11" t="str">
        <f t="shared" si="9"/>
        <v>cobertura correcta</v>
      </c>
      <c r="R286" s="12"/>
      <c r="S286" s="8"/>
      <c r="T286" s="12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5.75" customHeight="1">
      <c r="A287" s="5" t="s">
        <v>571</v>
      </c>
      <c r="B287" s="6" t="s">
        <v>572</v>
      </c>
      <c r="C287" s="6">
        <f t="shared" si="1"/>
        <v>3964</v>
      </c>
      <c r="D287" s="6">
        <f t="shared" si="35"/>
        <v>209</v>
      </c>
      <c r="E287" s="7">
        <v>0.0</v>
      </c>
      <c r="F287" s="8"/>
      <c r="G287" s="6">
        <f t="shared" si="3"/>
        <v>5848</v>
      </c>
      <c r="H287" s="6">
        <f t="shared" si="4"/>
        <v>18343</v>
      </c>
      <c r="I287" s="6">
        <f t="shared" si="5"/>
        <v>19626</v>
      </c>
      <c r="J287" s="6">
        <f t="shared" si="6"/>
        <v>59990</v>
      </c>
      <c r="K287" s="9"/>
      <c r="L287" s="9"/>
      <c r="M287" s="9"/>
      <c r="N287" s="9">
        <f t="shared" si="7"/>
        <v>15.13370333</v>
      </c>
      <c r="O287" s="10">
        <f t="shared" si="8"/>
        <v>20.33515732</v>
      </c>
      <c r="P287" s="9">
        <v>15.0</v>
      </c>
      <c r="Q287" s="11" t="str">
        <f t="shared" si="9"/>
        <v>cobertura correcta</v>
      </c>
      <c r="R287" s="12"/>
      <c r="S287" s="8"/>
      <c r="T287" s="12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5.75" customHeight="1">
      <c r="A288" s="5" t="s">
        <v>573</v>
      </c>
      <c r="B288" s="6" t="s">
        <v>574</v>
      </c>
      <c r="C288" s="6">
        <f t="shared" si="1"/>
        <v>7200</v>
      </c>
      <c r="D288" s="6">
        <f t="shared" si="35"/>
        <v>116</v>
      </c>
      <c r="E288" s="7">
        <v>0.0</v>
      </c>
      <c r="F288" s="8"/>
      <c r="G288" s="6">
        <f t="shared" si="3"/>
        <v>2314</v>
      </c>
      <c r="H288" s="6">
        <f t="shared" si="4"/>
        <v>18681</v>
      </c>
      <c r="I288" s="6">
        <f t="shared" si="5"/>
        <v>24861</v>
      </c>
      <c r="J288" s="6">
        <f t="shared" si="6"/>
        <v>91316</v>
      </c>
      <c r="K288" s="9"/>
      <c r="L288" s="9"/>
      <c r="M288" s="9"/>
      <c r="N288" s="9">
        <f t="shared" si="7"/>
        <v>12.68277778</v>
      </c>
      <c r="O288" s="10">
        <f t="shared" si="8"/>
        <v>93.34485739</v>
      </c>
      <c r="P288" s="9">
        <v>15.0</v>
      </c>
      <c r="Q288" s="11" t="str">
        <f t="shared" si="9"/>
        <v>cobertura correcta</v>
      </c>
      <c r="R288" s="12"/>
      <c r="S288" s="8"/>
      <c r="T288" s="12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5.75" customHeight="1">
      <c r="A289" s="5" t="s">
        <v>575</v>
      </c>
      <c r="B289" s="6" t="s">
        <v>576</v>
      </c>
      <c r="C289" s="6">
        <f t="shared" si="1"/>
        <v>8261</v>
      </c>
      <c r="D289" s="6">
        <f t="shared" si="35"/>
        <v>286</v>
      </c>
      <c r="E289" s="7">
        <v>0.0</v>
      </c>
      <c r="F289" s="8"/>
      <c r="G289" s="6">
        <f t="shared" si="3"/>
        <v>5559</v>
      </c>
      <c r="H289" s="6">
        <f t="shared" si="4"/>
        <v>18767</v>
      </c>
      <c r="I289" s="6">
        <f t="shared" si="5"/>
        <v>22350</v>
      </c>
      <c r="J289" s="6">
        <f t="shared" si="6"/>
        <v>95332</v>
      </c>
      <c r="K289" s="9"/>
      <c r="L289" s="9"/>
      <c r="M289" s="9"/>
      <c r="N289" s="9">
        <f t="shared" si="7"/>
        <v>11.54000726</v>
      </c>
      <c r="O289" s="10">
        <f t="shared" si="8"/>
        <v>44.58175931</v>
      </c>
      <c r="P289" s="9">
        <v>15.0</v>
      </c>
      <c r="Q289" s="11" t="str">
        <f t="shared" si="9"/>
        <v>cobertura correcta</v>
      </c>
      <c r="R289" s="12"/>
      <c r="S289" s="8"/>
      <c r="T289" s="12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5.75" customHeight="1">
      <c r="A290" s="5" t="s">
        <v>577</v>
      </c>
      <c r="B290" s="6" t="s">
        <v>578</v>
      </c>
      <c r="C290" s="6">
        <f t="shared" si="1"/>
        <v>1092</v>
      </c>
      <c r="D290" s="7">
        <v>0.0</v>
      </c>
      <c r="E290" s="7">
        <v>0.0</v>
      </c>
      <c r="F290" s="8"/>
      <c r="G290" s="6">
        <f t="shared" si="3"/>
        <v>8219</v>
      </c>
      <c r="H290" s="6">
        <f t="shared" si="4"/>
        <v>14487</v>
      </c>
      <c r="I290" s="6">
        <f t="shared" si="5"/>
        <v>23001</v>
      </c>
      <c r="J290" s="6">
        <f t="shared" si="6"/>
        <v>88709</v>
      </c>
      <c r="K290" s="9"/>
      <c r="L290" s="9"/>
      <c r="M290" s="9"/>
      <c r="N290" s="9">
        <f t="shared" si="7"/>
        <v>81.23534799</v>
      </c>
      <c r="O290" s="10">
        <f t="shared" si="8"/>
        <v>3.985886361</v>
      </c>
      <c r="P290" s="9">
        <v>15.0</v>
      </c>
      <c r="Q290" s="11" t="str">
        <f t="shared" si="9"/>
        <v>¡Compra YA!</v>
      </c>
      <c r="R290" s="12"/>
      <c r="S290" s="8"/>
      <c r="T290" s="12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5.75" customHeight="1">
      <c r="A291" s="5" t="s">
        <v>579</v>
      </c>
      <c r="B291" s="6" t="s">
        <v>580</v>
      </c>
      <c r="C291" s="6">
        <f t="shared" si="1"/>
        <v>2364</v>
      </c>
      <c r="D291" s="7">
        <v>0.0</v>
      </c>
      <c r="E291" s="7">
        <v>0.0</v>
      </c>
      <c r="F291" s="8"/>
      <c r="G291" s="6">
        <f t="shared" si="3"/>
        <v>5947</v>
      </c>
      <c r="H291" s="6">
        <f t="shared" si="4"/>
        <v>17009</v>
      </c>
      <c r="I291" s="6">
        <f t="shared" si="5"/>
        <v>27815</v>
      </c>
      <c r="J291" s="6">
        <f t="shared" si="6"/>
        <v>51594</v>
      </c>
      <c r="K291" s="9"/>
      <c r="L291" s="9"/>
      <c r="M291" s="9"/>
      <c r="N291" s="9">
        <f t="shared" si="7"/>
        <v>21.8248731</v>
      </c>
      <c r="O291" s="10">
        <f t="shared" si="8"/>
        <v>11.92534051</v>
      </c>
      <c r="P291" s="9">
        <v>15.0</v>
      </c>
      <c r="Q291" s="11" t="str">
        <f t="shared" si="9"/>
        <v>¡Compra YA!</v>
      </c>
      <c r="R291" s="12"/>
      <c r="S291" s="8"/>
      <c r="T291" s="12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5.75" customHeight="1">
      <c r="A292" s="5" t="s">
        <v>581</v>
      </c>
      <c r="B292" s="6" t="s">
        <v>582</v>
      </c>
      <c r="C292" s="6">
        <f t="shared" si="1"/>
        <v>4123</v>
      </c>
      <c r="D292" s="7">
        <v>0.0</v>
      </c>
      <c r="E292" s="7">
        <v>0.0</v>
      </c>
      <c r="F292" s="8"/>
      <c r="G292" s="6">
        <f t="shared" si="3"/>
        <v>3393</v>
      </c>
      <c r="H292" s="6">
        <f t="shared" si="4"/>
        <v>14320</v>
      </c>
      <c r="I292" s="6">
        <f t="shared" si="5"/>
        <v>22262</v>
      </c>
      <c r="J292" s="6">
        <f t="shared" si="6"/>
        <v>41515</v>
      </c>
      <c r="K292" s="9"/>
      <c r="L292" s="9"/>
      <c r="M292" s="9"/>
      <c r="N292" s="9">
        <f t="shared" si="7"/>
        <v>10.06912442</v>
      </c>
      <c r="O292" s="10">
        <f t="shared" si="8"/>
        <v>36.45446508</v>
      </c>
      <c r="P292" s="9">
        <v>15.0</v>
      </c>
      <c r="Q292" s="11" t="str">
        <f t="shared" si="9"/>
        <v>cobertura correcta</v>
      </c>
      <c r="R292" s="12"/>
      <c r="S292" s="8"/>
      <c r="T292" s="12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5.75" customHeight="1">
      <c r="A293" s="5" t="s">
        <v>583</v>
      </c>
      <c r="B293" s="6" t="s">
        <v>584</v>
      </c>
      <c r="C293" s="6">
        <f t="shared" si="1"/>
        <v>4818</v>
      </c>
      <c r="D293" s="7">
        <v>0.0</v>
      </c>
      <c r="E293" s="7">
        <v>0.0</v>
      </c>
      <c r="F293" s="8"/>
      <c r="G293" s="6">
        <f t="shared" si="3"/>
        <v>1663</v>
      </c>
      <c r="H293" s="6">
        <f t="shared" si="4"/>
        <v>18386</v>
      </c>
      <c r="I293" s="6">
        <f t="shared" si="5"/>
        <v>28062</v>
      </c>
      <c r="J293" s="6">
        <f t="shared" si="6"/>
        <v>78685</v>
      </c>
      <c r="K293" s="9"/>
      <c r="L293" s="9"/>
      <c r="M293" s="9"/>
      <c r="N293" s="9">
        <f t="shared" si="7"/>
        <v>16.33146534</v>
      </c>
      <c r="O293" s="10">
        <f t="shared" si="8"/>
        <v>86.91521347</v>
      </c>
      <c r="P293" s="9">
        <v>15.0</v>
      </c>
      <c r="Q293" s="11" t="str">
        <f t="shared" si="9"/>
        <v>cobertura correcta</v>
      </c>
      <c r="R293" s="12"/>
      <c r="S293" s="8"/>
      <c r="T293" s="12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5.75" customHeight="1">
      <c r="A294" s="5" t="s">
        <v>585</v>
      </c>
      <c r="B294" s="6" t="s">
        <v>586</v>
      </c>
      <c r="C294" s="6">
        <f t="shared" si="1"/>
        <v>6601</v>
      </c>
      <c r="D294" s="7">
        <v>0.0</v>
      </c>
      <c r="E294" s="7">
        <v>0.0</v>
      </c>
      <c r="F294" s="8"/>
      <c r="G294" s="6">
        <f t="shared" si="3"/>
        <v>4807</v>
      </c>
      <c r="H294" s="6">
        <f t="shared" si="4"/>
        <v>10761</v>
      </c>
      <c r="I294" s="6">
        <f t="shared" si="5"/>
        <v>28465</v>
      </c>
      <c r="J294" s="6">
        <f t="shared" si="6"/>
        <v>43727</v>
      </c>
      <c r="K294" s="9"/>
      <c r="L294" s="9"/>
      <c r="M294" s="9"/>
      <c r="N294" s="9">
        <f t="shared" si="7"/>
        <v>6.624299349</v>
      </c>
      <c r="O294" s="10">
        <f t="shared" si="8"/>
        <v>41.19617225</v>
      </c>
      <c r="P294" s="9">
        <v>15.0</v>
      </c>
      <c r="Q294" s="11" t="str">
        <f t="shared" si="9"/>
        <v>cobertura correcta</v>
      </c>
      <c r="R294" s="12"/>
      <c r="S294" s="8"/>
      <c r="T294" s="12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5.75" customHeight="1">
      <c r="A295" s="5" t="s">
        <v>587</v>
      </c>
      <c r="B295" s="6" t="s">
        <v>588</v>
      </c>
      <c r="C295" s="6">
        <f t="shared" si="1"/>
        <v>5968</v>
      </c>
      <c r="D295" s="7">
        <v>66.0</v>
      </c>
      <c r="E295" s="7">
        <v>0.0</v>
      </c>
      <c r="F295" s="8"/>
      <c r="G295" s="6">
        <f t="shared" si="3"/>
        <v>1339</v>
      </c>
      <c r="H295" s="6">
        <f t="shared" si="4"/>
        <v>16226</v>
      </c>
      <c r="I295" s="6">
        <f t="shared" si="5"/>
        <v>23346</v>
      </c>
      <c r="J295" s="6">
        <f t="shared" si="6"/>
        <v>77893</v>
      </c>
      <c r="K295" s="9"/>
      <c r="L295" s="9"/>
      <c r="M295" s="9"/>
      <c r="N295" s="9">
        <f t="shared" si="7"/>
        <v>13.05177614</v>
      </c>
      <c r="O295" s="10">
        <f t="shared" si="8"/>
        <v>133.7117252</v>
      </c>
      <c r="P295" s="9">
        <v>15.0</v>
      </c>
      <c r="Q295" s="11" t="str">
        <f t="shared" si="9"/>
        <v>cobertura correcta</v>
      </c>
      <c r="R295" s="12"/>
      <c r="S295" s="8"/>
      <c r="T295" s="12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5.75" customHeight="1">
      <c r="A296" s="5" t="s">
        <v>589</v>
      </c>
      <c r="B296" s="6" t="s">
        <v>590</v>
      </c>
      <c r="C296" s="6">
        <f t="shared" si="1"/>
        <v>3017</v>
      </c>
      <c r="D296" s="7">
        <v>96.0</v>
      </c>
      <c r="E296" s="7">
        <v>0.0</v>
      </c>
      <c r="F296" s="8"/>
      <c r="G296" s="6">
        <f t="shared" si="3"/>
        <v>8645</v>
      </c>
      <c r="H296" s="6">
        <f t="shared" si="4"/>
        <v>9590</v>
      </c>
      <c r="I296" s="6">
        <f t="shared" si="5"/>
        <v>20524</v>
      </c>
      <c r="J296" s="6">
        <f t="shared" si="6"/>
        <v>35627</v>
      </c>
      <c r="K296" s="9"/>
      <c r="L296" s="9"/>
      <c r="M296" s="9"/>
      <c r="N296" s="9">
        <f t="shared" si="7"/>
        <v>11.80875041</v>
      </c>
      <c r="O296" s="10">
        <f t="shared" si="8"/>
        <v>10.46963563</v>
      </c>
      <c r="P296" s="9">
        <v>15.0</v>
      </c>
      <c r="Q296" s="11" t="str">
        <f t="shared" si="9"/>
        <v>¡Compra YA!</v>
      </c>
      <c r="R296" s="12"/>
      <c r="S296" s="8"/>
      <c r="T296" s="12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5.75" customHeight="1">
      <c r="A297" s="5" t="s">
        <v>591</v>
      </c>
      <c r="B297" s="6" t="s">
        <v>592</v>
      </c>
      <c r="C297" s="6">
        <f t="shared" si="1"/>
        <v>3770</v>
      </c>
      <c r="D297" s="7">
        <v>0.0</v>
      </c>
      <c r="E297" s="7">
        <v>0.0</v>
      </c>
      <c r="F297" s="8"/>
      <c r="G297" s="6">
        <f t="shared" si="3"/>
        <v>3012</v>
      </c>
      <c r="H297" s="6">
        <f t="shared" si="4"/>
        <v>17998</v>
      </c>
      <c r="I297" s="6">
        <f t="shared" si="5"/>
        <v>28415</v>
      </c>
      <c r="J297" s="6">
        <f t="shared" si="6"/>
        <v>34084</v>
      </c>
      <c r="K297" s="9"/>
      <c r="L297" s="9"/>
      <c r="M297" s="9"/>
      <c r="N297" s="9">
        <f t="shared" si="7"/>
        <v>9.040848806</v>
      </c>
      <c r="O297" s="10">
        <f t="shared" si="8"/>
        <v>37.5498008</v>
      </c>
      <c r="P297" s="9">
        <v>15.0</v>
      </c>
      <c r="Q297" s="11" t="str">
        <f t="shared" si="9"/>
        <v>cobertura correcta</v>
      </c>
      <c r="R297" s="12"/>
      <c r="S297" s="8"/>
      <c r="T297" s="12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5.75" customHeight="1">
      <c r="A298" s="5" t="s">
        <v>593</v>
      </c>
      <c r="B298" s="6" t="s">
        <v>594</v>
      </c>
      <c r="C298" s="6">
        <f t="shared" si="1"/>
        <v>7663</v>
      </c>
      <c r="D298" s="7">
        <v>0.0</v>
      </c>
      <c r="E298" s="7">
        <v>0.0</v>
      </c>
      <c r="F298" s="8"/>
      <c r="G298" s="6">
        <f t="shared" si="3"/>
        <v>8811</v>
      </c>
      <c r="H298" s="6">
        <f t="shared" si="4"/>
        <v>17410</v>
      </c>
      <c r="I298" s="6">
        <f t="shared" si="5"/>
        <v>27801</v>
      </c>
      <c r="J298" s="6">
        <f t="shared" si="6"/>
        <v>73070</v>
      </c>
      <c r="K298" s="9"/>
      <c r="L298" s="9"/>
      <c r="M298" s="9"/>
      <c r="N298" s="9">
        <f t="shared" si="7"/>
        <v>9.535429988</v>
      </c>
      <c r="O298" s="10">
        <f t="shared" si="8"/>
        <v>26.09124957</v>
      </c>
      <c r="P298" s="9">
        <v>15.0</v>
      </c>
      <c r="Q298" s="11" t="str">
        <f t="shared" si="9"/>
        <v>cobertura correcta</v>
      </c>
      <c r="R298" s="12"/>
      <c r="S298" s="8"/>
      <c r="T298" s="12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5.75" customHeight="1">
      <c r="A299" s="5" t="s">
        <v>595</v>
      </c>
      <c r="B299" s="6" t="s">
        <v>596</v>
      </c>
      <c r="C299" s="6">
        <f t="shared" si="1"/>
        <v>8745</v>
      </c>
      <c r="D299" s="7">
        <v>0.0</v>
      </c>
      <c r="E299" s="7">
        <v>0.0</v>
      </c>
      <c r="F299" s="8"/>
      <c r="G299" s="6">
        <f t="shared" si="3"/>
        <v>6246</v>
      </c>
      <c r="H299" s="6">
        <f t="shared" si="4"/>
        <v>13763</v>
      </c>
      <c r="I299" s="6">
        <f t="shared" si="5"/>
        <v>25375</v>
      </c>
      <c r="J299" s="6">
        <f t="shared" si="6"/>
        <v>89673</v>
      </c>
      <c r="K299" s="9"/>
      <c r="L299" s="9"/>
      <c r="M299" s="9"/>
      <c r="N299" s="9">
        <f t="shared" si="7"/>
        <v>10.2542024</v>
      </c>
      <c r="O299" s="10">
        <f t="shared" si="8"/>
        <v>42.00288184</v>
      </c>
      <c r="P299" s="9">
        <v>15.0</v>
      </c>
      <c r="Q299" s="11" t="str">
        <f t="shared" si="9"/>
        <v>cobertura correcta</v>
      </c>
      <c r="R299" s="12"/>
      <c r="S299" s="8"/>
      <c r="T299" s="12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5.75" customHeight="1">
      <c r="A300" s="5" t="s">
        <v>597</v>
      </c>
      <c r="B300" s="6" t="s">
        <v>598</v>
      </c>
      <c r="C300" s="6">
        <f t="shared" si="1"/>
        <v>7348</v>
      </c>
      <c r="D300" s="6">
        <f t="shared" ref="D300:D303" si="36">RANDBETWEEN(0, 350)</f>
        <v>350</v>
      </c>
      <c r="E300" s="7">
        <v>0.0</v>
      </c>
      <c r="F300" s="8"/>
      <c r="G300" s="6">
        <f t="shared" si="3"/>
        <v>7309</v>
      </c>
      <c r="H300" s="6">
        <f t="shared" si="4"/>
        <v>11312</v>
      </c>
      <c r="I300" s="6">
        <f t="shared" si="5"/>
        <v>27548</v>
      </c>
      <c r="J300" s="6">
        <f t="shared" si="6"/>
        <v>58694</v>
      </c>
      <c r="K300" s="9"/>
      <c r="L300" s="9"/>
      <c r="M300" s="9"/>
      <c r="N300" s="9">
        <f t="shared" si="7"/>
        <v>7.987751769</v>
      </c>
      <c r="O300" s="10">
        <f t="shared" si="8"/>
        <v>30.16007662</v>
      </c>
      <c r="P300" s="9">
        <v>15.0</v>
      </c>
      <c r="Q300" s="11" t="str">
        <f t="shared" si="9"/>
        <v>cobertura correcta</v>
      </c>
      <c r="R300" s="12"/>
      <c r="S300" s="8"/>
      <c r="T300" s="12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5.75" customHeight="1">
      <c r="A301" s="5" t="s">
        <v>599</v>
      </c>
      <c r="B301" s="6"/>
      <c r="C301" s="6">
        <f t="shared" si="1"/>
        <v>4016</v>
      </c>
      <c r="D301" s="6">
        <f t="shared" si="36"/>
        <v>152</v>
      </c>
      <c r="E301" s="7">
        <v>0.0</v>
      </c>
      <c r="F301" s="8"/>
      <c r="G301" s="6">
        <f t="shared" si="3"/>
        <v>3571</v>
      </c>
      <c r="H301" s="6">
        <f t="shared" si="4"/>
        <v>15194</v>
      </c>
      <c r="I301" s="6">
        <f t="shared" si="5"/>
        <v>26137</v>
      </c>
      <c r="J301" s="6">
        <f t="shared" si="6"/>
        <v>43968</v>
      </c>
      <c r="K301" s="9"/>
      <c r="L301" s="9"/>
      <c r="M301" s="9"/>
      <c r="N301" s="9">
        <f t="shared" si="7"/>
        <v>10.94820717</v>
      </c>
      <c r="O301" s="10">
        <f t="shared" si="8"/>
        <v>33.73844861</v>
      </c>
      <c r="P301" s="9">
        <v>15.0</v>
      </c>
      <c r="Q301" s="11" t="str">
        <f t="shared" si="9"/>
        <v>cobertura correcta</v>
      </c>
      <c r="R301" s="12"/>
      <c r="S301" s="8"/>
      <c r="T301" s="12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5.75" customHeight="1">
      <c r="A302" s="5" t="s">
        <v>600</v>
      </c>
      <c r="B302" s="6"/>
      <c r="C302" s="6">
        <f t="shared" si="1"/>
        <v>4641</v>
      </c>
      <c r="D302" s="6">
        <f t="shared" si="36"/>
        <v>79</v>
      </c>
      <c r="E302" s="7">
        <v>0.0</v>
      </c>
      <c r="F302" s="8"/>
      <c r="G302" s="6">
        <f t="shared" si="3"/>
        <v>5133</v>
      </c>
      <c r="H302" s="6">
        <f t="shared" si="4"/>
        <v>15121</v>
      </c>
      <c r="I302" s="6">
        <f t="shared" si="5"/>
        <v>24716</v>
      </c>
      <c r="J302" s="6">
        <f t="shared" si="6"/>
        <v>90793</v>
      </c>
      <c r="K302" s="9"/>
      <c r="L302" s="9"/>
      <c r="M302" s="9"/>
      <c r="N302" s="9">
        <f t="shared" si="7"/>
        <v>19.56324068</v>
      </c>
      <c r="O302" s="10">
        <f t="shared" si="8"/>
        <v>27.1244886</v>
      </c>
      <c r="P302" s="9">
        <v>15.0</v>
      </c>
      <c r="Q302" s="11" t="str">
        <f t="shared" si="9"/>
        <v>cobertura correcta</v>
      </c>
      <c r="R302" s="12"/>
      <c r="S302" s="8"/>
      <c r="T302" s="12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5.75" customHeight="1">
      <c r="A303" s="5" t="s">
        <v>601</v>
      </c>
      <c r="B303" s="6" t="s">
        <v>602</v>
      </c>
      <c r="C303" s="6">
        <f t="shared" si="1"/>
        <v>3193</v>
      </c>
      <c r="D303" s="6">
        <f t="shared" si="36"/>
        <v>180</v>
      </c>
      <c r="E303" s="7">
        <v>0.0</v>
      </c>
      <c r="F303" s="8"/>
      <c r="G303" s="6">
        <f t="shared" si="3"/>
        <v>3994</v>
      </c>
      <c r="H303" s="6">
        <f t="shared" si="4"/>
        <v>9639</v>
      </c>
      <c r="I303" s="6">
        <f t="shared" si="5"/>
        <v>26459</v>
      </c>
      <c r="J303" s="6">
        <f t="shared" si="6"/>
        <v>34635</v>
      </c>
      <c r="K303" s="9"/>
      <c r="L303" s="9"/>
      <c r="M303" s="9"/>
      <c r="N303" s="9">
        <f t="shared" si="7"/>
        <v>10.84716567</v>
      </c>
      <c r="O303" s="10">
        <f t="shared" si="8"/>
        <v>23.98347521</v>
      </c>
      <c r="P303" s="9">
        <v>15.0</v>
      </c>
      <c r="Q303" s="11" t="str">
        <f t="shared" si="9"/>
        <v>cobertura correcta</v>
      </c>
      <c r="R303" s="12"/>
      <c r="S303" s="8"/>
      <c r="T303" s="12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5.75" customHeight="1">
      <c r="A304" s="5" t="s">
        <v>603</v>
      </c>
      <c r="B304" s="6" t="s">
        <v>604</v>
      </c>
      <c r="C304" s="6">
        <f t="shared" si="1"/>
        <v>6984</v>
      </c>
      <c r="D304" s="7">
        <v>0.0</v>
      </c>
      <c r="E304" s="7">
        <v>0.0</v>
      </c>
      <c r="F304" s="8"/>
      <c r="G304" s="6">
        <f t="shared" si="3"/>
        <v>6297</v>
      </c>
      <c r="H304" s="6">
        <f t="shared" si="4"/>
        <v>14098</v>
      </c>
      <c r="I304" s="6">
        <f t="shared" si="5"/>
        <v>21520</v>
      </c>
      <c r="J304" s="6">
        <f t="shared" si="6"/>
        <v>56471</v>
      </c>
      <c r="K304" s="9"/>
      <c r="L304" s="9"/>
      <c r="M304" s="9"/>
      <c r="N304" s="9">
        <f t="shared" si="7"/>
        <v>8.085767468</v>
      </c>
      <c r="O304" s="10">
        <f t="shared" si="8"/>
        <v>33.27298714</v>
      </c>
      <c r="P304" s="9">
        <v>15.0</v>
      </c>
      <c r="Q304" s="11" t="str">
        <f t="shared" si="9"/>
        <v>cobertura correcta</v>
      </c>
      <c r="R304" s="12"/>
      <c r="S304" s="8"/>
      <c r="T304" s="12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5.75" customHeight="1">
      <c r="A305" s="5" t="s">
        <v>605</v>
      </c>
      <c r="B305" s="6" t="s">
        <v>606</v>
      </c>
      <c r="C305" s="6">
        <f t="shared" si="1"/>
        <v>3576</v>
      </c>
      <c r="D305" s="6">
        <f>RANDBETWEEN(0, 350)</f>
        <v>37</v>
      </c>
      <c r="E305" s="7">
        <v>0.0</v>
      </c>
      <c r="F305" s="8"/>
      <c r="G305" s="6">
        <f t="shared" si="3"/>
        <v>1231</v>
      </c>
      <c r="H305" s="6">
        <f t="shared" si="4"/>
        <v>11188</v>
      </c>
      <c r="I305" s="6">
        <f t="shared" si="5"/>
        <v>22448</v>
      </c>
      <c r="J305" s="6">
        <f t="shared" si="6"/>
        <v>67445</v>
      </c>
      <c r="K305" s="9"/>
      <c r="L305" s="9"/>
      <c r="M305" s="9"/>
      <c r="N305" s="9">
        <f t="shared" si="7"/>
        <v>18.86045861</v>
      </c>
      <c r="O305" s="10">
        <f t="shared" si="8"/>
        <v>87.14865963</v>
      </c>
      <c r="P305" s="9">
        <v>15.0</v>
      </c>
      <c r="Q305" s="11" t="str">
        <f t="shared" si="9"/>
        <v>cobertura correcta</v>
      </c>
      <c r="R305" s="12"/>
      <c r="S305" s="8"/>
      <c r="T305" s="12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5.75" customHeight="1">
      <c r="A306" s="5" t="s">
        <v>607</v>
      </c>
      <c r="B306" s="6" t="s">
        <v>608</v>
      </c>
      <c r="C306" s="6">
        <f t="shared" si="1"/>
        <v>6497</v>
      </c>
      <c r="D306" s="7">
        <v>0.0</v>
      </c>
      <c r="E306" s="7">
        <v>0.0</v>
      </c>
      <c r="F306" s="8"/>
      <c r="G306" s="6">
        <f t="shared" si="3"/>
        <v>5091</v>
      </c>
      <c r="H306" s="6">
        <f t="shared" si="4"/>
        <v>17550</v>
      </c>
      <c r="I306" s="6">
        <f t="shared" si="5"/>
        <v>22805</v>
      </c>
      <c r="J306" s="6">
        <f t="shared" si="6"/>
        <v>67086</v>
      </c>
      <c r="K306" s="9"/>
      <c r="L306" s="9"/>
      <c r="M306" s="9"/>
      <c r="N306" s="9">
        <f t="shared" si="7"/>
        <v>10.32568878</v>
      </c>
      <c r="O306" s="10">
        <f t="shared" si="8"/>
        <v>38.28520919</v>
      </c>
      <c r="P306" s="9">
        <v>15.0</v>
      </c>
      <c r="Q306" s="11" t="str">
        <f t="shared" si="9"/>
        <v>cobertura correcta</v>
      </c>
      <c r="R306" s="12"/>
      <c r="S306" s="8"/>
      <c r="T306" s="12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5.75" customHeight="1">
      <c r="A307" s="5" t="s">
        <v>609</v>
      </c>
      <c r="B307" s="6" t="s">
        <v>610</v>
      </c>
      <c r="C307" s="6">
        <f t="shared" si="1"/>
        <v>4199</v>
      </c>
      <c r="D307" s="6">
        <f t="shared" ref="D307:D309" si="37">RANDBETWEEN(0, 350)</f>
        <v>147</v>
      </c>
      <c r="E307" s="7">
        <v>0.0</v>
      </c>
      <c r="F307" s="8"/>
      <c r="G307" s="6">
        <f t="shared" si="3"/>
        <v>2284</v>
      </c>
      <c r="H307" s="6">
        <f t="shared" si="4"/>
        <v>18773</v>
      </c>
      <c r="I307" s="6">
        <f t="shared" si="5"/>
        <v>19433</v>
      </c>
      <c r="J307" s="6">
        <f t="shared" si="6"/>
        <v>83934</v>
      </c>
      <c r="K307" s="9"/>
      <c r="L307" s="9"/>
      <c r="M307" s="9"/>
      <c r="N307" s="9">
        <f t="shared" si="7"/>
        <v>19.98904501</v>
      </c>
      <c r="O307" s="10">
        <f t="shared" si="8"/>
        <v>55.15323993</v>
      </c>
      <c r="P307" s="9">
        <v>15.0</v>
      </c>
      <c r="Q307" s="11" t="str">
        <f t="shared" si="9"/>
        <v>cobertura correcta</v>
      </c>
      <c r="R307" s="12"/>
      <c r="S307" s="8"/>
      <c r="T307" s="12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5.75" customHeight="1">
      <c r="A308" s="5" t="s">
        <v>611</v>
      </c>
      <c r="B308" s="6" t="s">
        <v>612</v>
      </c>
      <c r="C308" s="6">
        <f t="shared" si="1"/>
        <v>4215</v>
      </c>
      <c r="D308" s="6">
        <f t="shared" si="37"/>
        <v>126</v>
      </c>
      <c r="E308" s="7">
        <v>0.0</v>
      </c>
      <c r="F308" s="8"/>
      <c r="G308" s="6">
        <f t="shared" si="3"/>
        <v>8922</v>
      </c>
      <c r="H308" s="6">
        <f t="shared" si="4"/>
        <v>9227</v>
      </c>
      <c r="I308" s="6">
        <f t="shared" si="5"/>
        <v>24844</v>
      </c>
      <c r="J308" s="6">
        <f t="shared" si="6"/>
        <v>39495</v>
      </c>
      <c r="K308" s="9"/>
      <c r="L308" s="9"/>
      <c r="M308" s="9"/>
      <c r="N308" s="9">
        <f t="shared" si="7"/>
        <v>9.370106762</v>
      </c>
      <c r="O308" s="10">
        <f t="shared" si="8"/>
        <v>14.1728312</v>
      </c>
      <c r="P308" s="9">
        <v>15.0</v>
      </c>
      <c r="Q308" s="11" t="str">
        <f t="shared" si="9"/>
        <v>¡Compra YA!</v>
      </c>
      <c r="R308" s="12"/>
      <c r="S308" s="8"/>
      <c r="T308" s="12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5.75" customHeight="1">
      <c r="A309" s="5" t="s">
        <v>613</v>
      </c>
      <c r="B309" s="6" t="s">
        <v>614</v>
      </c>
      <c r="C309" s="6">
        <f t="shared" si="1"/>
        <v>2490</v>
      </c>
      <c r="D309" s="6">
        <f t="shared" si="37"/>
        <v>148</v>
      </c>
      <c r="E309" s="7">
        <v>0.0</v>
      </c>
      <c r="F309" s="8"/>
      <c r="G309" s="6">
        <f t="shared" si="3"/>
        <v>5823</v>
      </c>
      <c r="H309" s="6">
        <f t="shared" si="4"/>
        <v>9275</v>
      </c>
      <c r="I309" s="6">
        <f t="shared" si="5"/>
        <v>28853</v>
      </c>
      <c r="J309" s="6">
        <f t="shared" si="6"/>
        <v>55831</v>
      </c>
      <c r="K309" s="9"/>
      <c r="L309" s="9"/>
      <c r="M309" s="9"/>
      <c r="N309" s="9">
        <f t="shared" si="7"/>
        <v>22.42208835</v>
      </c>
      <c r="O309" s="10">
        <f t="shared" si="8"/>
        <v>12.82843895</v>
      </c>
      <c r="P309" s="9">
        <v>15.0</v>
      </c>
      <c r="Q309" s="11" t="str">
        <f t="shared" si="9"/>
        <v>¡Compra YA!</v>
      </c>
      <c r="R309" s="12"/>
      <c r="S309" s="8"/>
      <c r="T309" s="12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5.75" customHeight="1">
      <c r="A310" s="5" t="s">
        <v>615</v>
      </c>
      <c r="B310" s="6" t="s">
        <v>616</v>
      </c>
      <c r="C310" s="6">
        <f t="shared" si="1"/>
        <v>1392</v>
      </c>
      <c r="D310" s="6">
        <f>RANDBETWEEN(1000, 9000)</f>
        <v>7857</v>
      </c>
      <c r="E310" s="7">
        <v>0.0</v>
      </c>
      <c r="F310" s="8"/>
      <c r="G310" s="6">
        <f t="shared" si="3"/>
        <v>7043</v>
      </c>
      <c r="H310" s="6">
        <f t="shared" si="4"/>
        <v>12319</v>
      </c>
      <c r="I310" s="6">
        <f t="shared" si="5"/>
        <v>25900</v>
      </c>
      <c r="J310" s="6">
        <f t="shared" si="6"/>
        <v>63160</v>
      </c>
      <c r="K310" s="9"/>
      <c r="L310" s="9"/>
      <c r="M310" s="9"/>
      <c r="N310" s="9">
        <f t="shared" si="7"/>
        <v>45.37356322</v>
      </c>
      <c r="O310" s="10">
        <f t="shared" si="8"/>
        <v>5.929291495</v>
      </c>
      <c r="P310" s="9">
        <v>15.0</v>
      </c>
      <c r="Q310" s="11" t="str">
        <f t="shared" si="9"/>
        <v>¡Compra YA!</v>
      </c>
      <c r="R310" s="12"/>
      <c r="S310" s="8"/>
      <c r="T310" s="12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5.75" customHeight="1">
      <c r="A311" s="5" t="s">
        <v>617</v>
      </c>
      <c r="B311" s="6" t="s">
        <v>618</v>
      </c>
      <c r="C311" s="6">
        <f t="shared" si="1"/>
        <v>4518</v>
      </c>
      <c r="D311" s="6">
        <f t="shared" ref="D311:D331" si="38">RANDBETWEEN(0, 350)</f>
        <v>290</v>
      </c>
      <c r="E311" s="7">
        <v>0.0</v>
      </c>
      <c r="F311" s="8"/>
      <c r="G311" s="6">
        <f t="shared" si="3"/>
        <v>5244</v>
      </c>
      <c r="H311" s="6">
        <f t="shared" si="4"/>
        <v>12188</v>
      </c>
      <c r="I311" s="6">
        <f t="shared" si="5"/>
        <v>25598</v>
      </c>
      <c r="J311" s="6">
        <f t="shared" si="6"/>
        <v>33685</v>
      </c>
      <c r="K311" s="9"/>
      <c r="L311" s="9"/>
      <c r="M311" s="9"/>
      <c r="N311" s="9">
        <f t="shared" si="7"/>
        <v>7.455732625</v>
      </c>
      <c r="O311" s="10">
        <f t="shared" si="8"/>
        <v>25.84668192</v>
      </c>
      <c r="P311" s="9">
        <v>15.0</v>
      </c>
      <c r="Q311" s="11" t="str">
        <f t="shared" si="9"/>
        <v>cobertura correcta</v>
      </c>
      <c r="R311" s="12"/>
      <c r="S311" s="8"/>
      <c r="T311" s="12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5.75" customHeight="1">
      <c r="A312" s="5" t="s">
        <v>619</v>
      </c>
      <c r="B312" s="6" t="s">
        <v>620</v>
      </c>
      <c r="C312" s="6">
        <f t="shared" si="1"/>
        <v>8558</v>
      </c>
      <c r="D312" s="6">
        <f t="shared" si="38"/>
        <v>105</v>
      </c>
      <c r="E312" s="7">
        <v>0.0</v>
      </c>
      <c r="F312" s="8"/>
      <c r="G312" s="6">
        <f t="shared" si="3"/>
        <v>1916</v>
      </c>
      <c r="H312" s="6">
        <f t="shared" si="4"/>
        <v>15858</v>
      </c>
      <c r="I312" s="6">
        <f t="shared" si="5"/>
        <v>22902</v>
      </c>
      <c r="J312" s="6">
        <f t="shared" si="6"/>
        <v>57788</v>
      </c>
      <c r="K312" s="9"/>
      <c r="L312" s="9"/>
      <c r="M312" s="9"/>
      <c r="N312" s="9">
        <f t="shared" si="7"/>
        <v>6.752512269</v>
      </c>
      <c r="O312" s="10">
        <f t="shared" si="8"/>
        <v>133.9979123</v>
      </c>
      <c r="P312" s="9">
        <v>15.0</v>
      </c>
      <c r="Q312" s="11" t="str">
        <f t="shared" si="9"/>
        <v>cobertura correcta</v>
      </c>
      <c r="R312" s="12"/>
      <c r="S312" s="8"/>
      <c r="T312" s="12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5.75" customHeight="1">
      <c r="A313" s="5" t="s">
        <v>621</v>
      </c>
      <c r="B313" s="6" t="s">
        <v>622</v>
      </c>
      <c r="C313" s="6">
        <f t="shared" si="1"/>
        <v>1996</v>
      </c>
      <c r="D313" s="6">
        <f t="shared" si="38"/>
        <v>86</v>
      </c>
      <c r="E313" s="7">
        <v>0.0</v>
      </c>
      <c r="F313" s="8"/>
      <c r="G313" s="6">
        <f t="shared" si="3"/>
        <v>7275</v>
      </c>
      <c r="H313" s="6">
        <f t="shared" si="4"/>
        <v>17453</v>
      </c>
      <c r="I313" s="6">
        <f t="shared" si="5"/>
        <v>21673</v>
      </c>
      <c r="J313" s="6">
        <f t="shared" si="6"/>
        <v>97787</v>
      </c>
      <c r="K313" s="9"/>
      <c r="L313" s="9"/>
      <c r="M313" s="9"/>
      <c r="N313" s="9">
        <f t="shared" si="7"/>
        <v>48.99148297</v>
      </c>
      <c r="O313" s="10">
        <f t="shared" si="8"/>
        <v>8.230927835</v>
      </c>
      <c r="P313" s="9">
        <v>15.0</v>
      </c>
      <c r="Q313" s="11" t="str">
        <f t="shared" si="9"/>
        <v>¡Compra YA!</v>
      </c>
      <c r="R313" s="12"/>
      <c r="S313" s="8"/>
      <c r="T313" s="12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5.75" customHeight="1">
      <c r="A314" s="5" t="s">
        <v>623</v>
      </c>
      <c r="B314" s="6" t="s">
        <v>624</v>
      </c>
      <c r="C314" s="6">
        <f t="shared" si="1"/>
        <v>6023</v>
      </c>
      <c r="D314" s="6">
        <f t="shared" si="38"/>
        <v>65</v>
      </c>
      <c r="E314" s="7">
        <v>0.0</v>
      </c>
      <c r="F314" s="8"/>
      <c r="G314" s="6">
        <f t="shared" si="3"/>
        <v>2860</v>
      </c>
      <c r="H314" s="6">
        <f t="shared" si="4"/>
        <v>15194</v>
      </c>
      <c r="I314" s="6">
        <f t="shared" si="5"/>
        <v>27536</v>
      </c>
      <c r="J314" s="6">
        <f t="shared" si="6"/>
        <v>54245</v>
      </c>
      <c r="K314" s="9"/>
      <c r="L314" s="9"/>
      <c r="M314" s="9"/>
      <c r="N314" s="9">
        <f t="shared" si="7"/>
        <v>9.006309148</v>
      </c>
      <c r="O314" s="10">
        <f t="shared" si="8"/>
        <v>63.17832168</v>
      </c>
      <c r="P314" s="9">
        <v>15.0</v>
      </c>
      <c r="Q314" s="11" t="str">
        <f t="shared" si="9"/>
        <v>cobertura correcta</v>
      </c>
      <c r="R314" s="12"/>
      <c r="S314" s="8"/>
      <c r="T314" s="12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5.75" customHeight="1">
      <c r="A315" s="5" t="s">
        <v>625</v>
      </c>
      <c r="B315" s="6" t="s">
        <v>626</v>
      </c>
      <c r="C315" s="6">
        <f t="shared" si="1"/>
        <v>6440</v>
      </c>
      <c r="D315" s="6">
        <f t="shared" si="38"/>
        <v>181</v>
      </c>
      <c r="E315" s="7">
        <v>0.0</v>
      </c>
      <c r="F315" s="8"/>
      <c r="G315" s="6">
        <f t="shared" si="3"/>
        <v>7467</v>
      </c>
      <c r="H315" s="6">
        <f t="shared" si="4"/>
        <v>12139</v>
      </c>
      <c r="I315" s="6">
        <f t="shared" si="5"/>
        <v>20537</v>
      </c>
      <c r="J315" s="6">
        <f t="shared" si="6"/>
        <v>61791</v>
      </c>
      <c r="K315" s="9"/>
      <c r="L315" s="9"/>
      <c r="M315" s="9"/>
      <c r="N315" s="9">
        <f t="shared" si="7"/>
        <v>9.594875776</v>
      </c>
      <c r="O315" s="10">
        <f t="shared" si="8"/>
        <v>25.87384492</v>
      </c>
      <c r="P315" s="9">
        <v>15.0</v>
      </c>
      <c r="Q315" s="11" t="str">
        <f t="shared" si="9"/>
        <v>cobertura correcta</v>
      </c>
      <c r="R315" s="12"/>
      <c r="S315" s="8"/>
      <c r="T315" s="12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5.75" customHeight="1">
      <c r="A316" s="5" t="s">
        <v>627</v>
      </c>
      <c r="B316" s="6" t="s">
        <v>628</v>
      </c>
      <c r="C316" s="6">
        <f t="shared" si="1"/>
        <v>5868</v>
      </c>
      <c r="D316" s="6">
        <f t="shared" si="38"/>
        <v>282</v>
      </c>
      <c r="E316" s="7">
        <v>0.0</v>
      </c>
      <c r="F316" s="8"/>
      <c r="G316" s="6">
        <f t="shared" si="3"/>
        <v>7073</v>
      </c>
      <c r="H316" s="6">
        <f t="shared" si="4"/>
        <v>11487</v>
      </c>
      <c r="I316" s="6">
        <f t="shared" si="5"/>
        <v>19694</v>
      </c>
      <c r="J316" s="6">
        <f t="shared" si="6"/>
        <v>73467</v>
      </c>
      <c r="K316" s="9"/>
      <c r="L316" s="9"/>
      <c r="M316" s="9"/>
      <c r="N316" s="9">
        <f t="shared" si="7"/>
        <v>12.51993865</v>
      </c>
      <c r="O316" s="10">
        <f t="shared" si="8"/>
        <v>24.88901456</v>
      </c>
      <c r="P316" s="9">
        <v>15.0</v>
      </c>
      <c r="Q316" s="11" t="str">
        <f t="shared" si="9"/>
        <v>cobertura correcta</v>
      </c>
      <c r="R316" s="12"/>
      <c r="S316" s="8"/>
      <c r="T316" s="12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5.75" customHeight="1">
      <c r="A317" s="5" t="s">
        <v>629</v>
      </c>
      <c r="B317" s="6" t="s">
        <v>630</v>
      </c>
      <c r="C317" s="6">
        <f t="shared" si="1"/>
        <v>4458</v>
      </c>
      <c r="D317" s="6">
        <f t="shared" si="38"/>
        <v>227</v>
      </c>
      <c r="E317" s="7">
        <v>0.0</v>
      </c>
      <c r="F317" s="8"/>
      <c r="G317" s="6">
        <f t="shared" si="3"/>
        <v>3222</v>
      </c>
      <c r="H317" s="6">
        <f t="shared" si="4"/>
        <v>16829</v>
      </c>
      <c r="I317" s="6">
        <f t="shared" si="5"/>
        <v>24642</v>
      </c>
      <c r="J317" s="6">
        <f t="shared" si="6"/>
        <v>66973</v>
      </c>
      <c r="K317" s="9"/>
      <c r="L317" s="9"/>
      <c r="M317" s="9"/>
      <c r="N317" s="9">
        <f t="shared" si="7"/>
        <v>15.02310453</v>
      </c>
      <c r="O317" s="10">
        <f t="shared" si="8"/>
        <v>41.50837989</v>
      </c>
      <c r="P317" s="9">
        <v>15.0</v>
      </c>
      <c r="Q317" s="11" t="str">
        <f t="shared" si="9"/>
        <v>cobertura correcta</v>
      </c>
      <c r="R317" s="12"/>
      <c r="S317" s="8"/>
      <c r="T317" s="12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5.75" customHeight="1">
      <c r="A318" s="5" t="s">
        <v>631</v>
      </c>
      <c r="B318" s="6" t="s">
        <v>632</v>
      </c>
      <c r="C318" s="6">
        <f t="shared" si="1"/>
        <v>2160</v>
      </c>
      <c r="D318" s="6">
        <f t="shared" si="38"/>
        <v>27</v>
      </c>
      <c r="E318" s="7">
        <v>0.0</v>
      </c>
      <c r="F318" s="8"/>
      <c r="G318" s="6">
        <f t="shared" si="3"/>
        <v>6446</v>
      </c>
      <c r="H318" s="6">
        <f t="shared" si="4"/>
        <v>15682</v>
      </c>
      <c r="I318" s="6">
        <f t="shared" si="5"/>
        <v>25881</v>
      </c>
      <c r="J318" s="6">
        <f t="shared" si="6"/>
        <v>67752</v>
      </c>
      <c r="K318" s="9"/>
      <c r="L318" s="9"/>
      <c r="M318" s="9"/>
      <c r="N318" s="9">
        <f t="shared" si="7"/>
        <v>31.36666667</v>
      </c>
      <c r="O318" s="10">
        <f t="shared" si="8"/>
        <v>10.05274589</v>
      </c>
      <c r="P318" s="9">
        <v>15.0</v>
      </c>
      <c r="Q318" s="11" t="str">
        <f t="shared" si="9"/>
        <v>¡Compra YA!</v>
      </c>
      <c r="R318" s="12"/>
      <c r="S318" s="8"/>
      <c r="T318" s="12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5.75" customHeight="1">
      <c r="A319" s="5" t="s">
        <v>633</v>
      </c>
      <c r="B319" s="6" t="s">
        <v>634</v>
      </c>
      <c r="C319" s="6">
        <f t="shared" si="1"/>
        <v>3313</v>
      </c>
      <c r="D319" s="6">
        <f t="shared" si="38"/>
        <v>122</v>
      </c>
      <c r="E319" s="7">
        <v>0.0</v>
      </c>
      <c r="F319" s="8"/>
      <c r="G319" s="6">
        <f t="shared" si="3"/>
        <v>4244</v>
      </c>
      <c r="H319" s="6">
        <f t="shared" si="4"/>
        <v>13162</v>
      </c>
      <c r="I319" s="6">
        <f t="shared" si="5"/>
        <v>19123</v>
      </c>
      <c r="J319" s="6">
        <f t="shared" si="6"/>
        <v>63321</v>
      </c>
      <c r="K319" s="9"/>
      <c r="L319" s="9"/>
      <c r="M319" s="9"/>
      <c r="N319" s="9">
        <f t="shared" si="7"/>
        <v>19.11288862</v>
      </c>
      <c r="O319" s="10">
        <f t="shared" si="8"/>
        <v>23.41894439</v>
      </c>
      <c r="P319" s="9">
        <v>15.0</v>
      </c>
      <c r="Q319" s="11" t="str">
        <f t="shared" si="9"/>
        <v>cobertura correcta</v>
      </c>
      <c r="R319" s="12"/>
      <c r="S319" s="8"/>
      <c r="T319" s="12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5.75" customHeight="1">
      <c r="A320" s="5" t="s">
        <v>635</v>
      </c>
      <c r="B320" s="6" t="s">
        <v>636</v>
      </c>
      <c r="C320" s="6">
        <f t="shared" si="1"/>
        <v>3013</v>
      </c>
      <c r="D320" s="6">
        <f t="shared" si="38"/>
        <v>146</v>
      </c>
      <c r="E320" s="7">
        <v>0.0</v>
      </c>
      <c r="F320" s="8"/>
      <c r="G320" s="6">
        <f t="shared" si="3"/>
        <v>6919</v>
      </c>
      <c r="H320" s="6">
        <f t="shared" si="4"/>
        <v>16033</v>
      </c>
      <c r="I320" s="6">
        <f t="shared" si="5"/>
        <v>23882</v>
      </c>
      <c r="J320" s="6">
        <f t="shared" si="6"/>
        <v>30199</v>
      </c>
      <c r="K320" s="9"/>
      <c r="L320" s="9"/>
      <c r="M320" s="9"/>
      <c r="N320" s="9">
        <f t="shared" si="7"/>
        <v>10.02290076</v>
      </c>
      <c r="O320" s="10">
        <f t="shared" si="8"/>
        <v>13.06402659</v>
      </c>
      <c r="P320" s="9">
        <v>30.0</v>
      </c>
      <c r="Q320" s="11" t="str">
        <f t="shared" si="9"/>
        <v>¡Compra YA!</v>
      </c>
      <c r="R320" s="12"/>
      <c r="S320" s="8"/>
      <c r="T320" s="12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5.75" customHeight="1">
      <c r="A321" s="5" t="s">
        <v>637</v>
      </c>
      <c r="B321" s="6" t="s">
        <v>638</v>
      </c>
      <c r="C321" s="6">
        <f t="shared" si="1"/>
        <v>3233</v>
      </c>
      <c r="D321" s="6">
        <f t="shared" si="38"/>
        <v>76</v>
      </c>
      <c r="E321" s="7">
        <v>0.0</v>
      </c>
      <c r="F321" s="8"/>
      <c r="G321" s="6">
        <f t="shared" si="3"/>
        <v>1005</v>
      </c>
      <c r="H321" s="6">
        <f t="shared" si="4"/>
        <v>18648</v>
      </c>
      <c r="I321" s="6">
        <f t="shared" si="5"/>
        <v>20810</v>
      </c>
      <c r="J321" s="6">
        <f t="shared" si="6"/>
        <v>57317</v>
      </c>
      <c r="K321" s="9"/>
      <c r="L321" s="9"/>
      <c r="M321" s="9"/>
      <c r="N321" s="9">
        <f t="shared" si="7"/>
        <v>17.72873492</v>
      </c>
      <c r="O321" s="10">
        <f t="shared" si="8"/>
        <v>96.50746269</v>
      </c>
      <c r="P321" s="9">
        <v>30.0</v>
      </c>
      <c r="Q321" s="11" t="str">
        <f t="shared" si="9"/>
        <v>cobertura correcta</v>
      </c>
      <c r="R321" s="12"/>
      <c r="S321" s="8"/>
      <c r="T321" s="12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5.75" customHeight="1">
      <c r="A322" s="5" t="s">
        <v>639</v>
      </c>
      <c r="B322" s="6" t="s">
        <v>640</v>
      </c>
      <c r="C322" s="6">
        <f t="shared" si="1"/>
        <v>1158</v>
      </c>
      <c r="D322" s="6">
        <f t="shared" si="38"/>
        <v>4</v>
      </c>
      <c r="E322" s="7">
        <v>0.0</v>
      </c>
      <c r="F322" s="8"/>
      <c r="G322" s="6">
        <f t="shared" si="3"/>
        <v>1248</v>
      </c>
      <c r="H322" s="6">
        <f t="shared" si="4"/>
        <v>15489</v>
      </c>
      <c r="I322" s="6">
        <f t="shared" si="5"/>
        <v>24015</v>
      </c>
      <c r="J322" s="6">
        <f t="shared" si="6"/>
        <v>93206</v>
      </c>
      <c r="K322" s="9"/>
      <c r="L322" s="9"/>
      <c r="M322" s="9"/>
      <c r="N322" s="9">
        <f t="shared" si="7"/>
        <v>80.48877375</v>
      </c>
      <c r="O322" s="10">
        <f t="shared" si="8"/>
        <v>27.83653846</v>
      </c>
      <c r="P322" s="9">
        <v>30.0</v>
      </c>
      <c r="Q322" s="11" t="str">
        <f t="shared" si="9"/>
        <v>¡Compra YA!</v>
      </c>
      <c r="R322" s="12"/>
      <c r="S322" s="8"/>
      <c r="T322" s="12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5.75" customHeight="1">
      <c r="A323" s="5" t="s">
        <v>641</v>
      </c>
      <c r="B323" s="6" t="s">
        <v>642</v>
      </c>
      <c r="C323" s="6">
        <f t="shared" si="1"/>
        <v>2972</v>
      </c>
      <c r="D323" s="6">
        <f t="shared" si="38"/>
        <v>349</v>
      </c>
      <c r="E323" s="7">
        <v>0.0</v>
      </c>
      <c r="F323" s="8"/>
      <c r="G323" s="6">
        <f t="shared" si="3"/>
        <v>4512</v>
      </c>
      <c r="H323" s="6">
        <f t="shared" si="4"/>
        <v>9335</v>
      </c>
      <c r="I323" s="6">
        <f t="shared" si="5"/>
        <v>20472</v>
      </c>
      <c r="J323" s="6">
        <f t="shared" si="6"/>
        <v>96562</v>
      </c>
      <c r="K323" s="9"/>
      <c r="L323" s="9"/>
      <c r="M323" s="9"/>
      <c r="N323" s="9">
        <f t="shared" si="7"/>
        <v>32.49057873</v>
      </c>
      <c r="O323" s="10">
        <f t="shared" si="8"/>
        <v>19.7606383</v>
      </c>
      <c r="P323" s="9">
        <v>30.0</v>
      </c>
      <c r="Q323" s="11" t="str">
        <f t="shared" si="9"/>
        <v>¡Compra YA!</v>
      </c>
      <c r="R323" s="12"/>
      <c r="S323" s="8"/>
      <c r="T323" s="12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5.75" customHeight="1">
      <c r="A324" s="5" t="s">
        <v>643</v>
      </c>
      <c r="B324" s="6" t="s">
        <v>644</v>
      </c>
      <c r="C324" s="6">
        <f t="shared" si="1"/>
        <v>4183</v>
      </c>
      <c r="D324" s="6">
        <f t="shared" si="38"/>
        <v>10</v>
      </c>
      <c r="E324" s="7">
        <v>0.0</v>
      </c>
      <c r="F324" s="8"/>
      <c r="G324" s="6">
        <f t="shared" si="3"/>
        <v>4225</v>
      </c>
      <c r="H324" s="6">
        <f t="shared" si="4"/>
        <v>15292</v>
      </c>
      <c r="I324" s="6">
        <f t="shared" si="5"/>
        <v>26873</v>
      </c>
      <c r="J324" s="6">
        <f t="shared" si="6"/>
        <v>53381</v>
      </c>
      <c r="K324" s="9"/>
      <c r="L324" s="9"/>
      <c r="M324" s="9"/>
      <c r="N324" s="9">
        <f t="shared" si="7"/>
        <v>12.76141525</v>
      </c>
      <c r="O324" s="10">
        <f t="shared" si="8"/>
        <v>29.70177515</v>
      </c>
      <c r="P324" s="9">
        <v>30.0</v>
      </c>
      <c r="Q324" s="11" t="str">
        <f t="shared" si="9"/>
        <v>¡Compra YA!</v>
      </c>
      <c r="R324" s="12"/>
      <c r="S324" s="8"/>
      <c r="T324" s="12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5.75" customHeight="1">
      <c r="A325" s="5" t="s">
        <v>645</v>
      </c>
      <c r="B325" s="6" t="s">
        <v>646</v>
      </c>
      <c r="C325" s="6">
        <f t="shared" si="1"/>
        <v>5656</v>
      </c>
      <c r="D325" s="6">
        <f t="shared" si="38"/>
        <v>175</v>
      </c>
      <c r="E325" s="7">
        <v>0.0</v>
      </c>
      <c r="F325" s="8"/>
      <c r="G325" s="6">
        <f t="shared" si="3"/>
        <v>7956</v>
      </c>
      <c r="H325" s="6">
        <f t="shared" si="4"/>
        <v>10543</v>
      </c>
      <c r="I325" s="6">
        <f t="shared" si="5"/>
        <v>20131</v>
      </c>
      <c r="J325" s="6">
        <f t="shared" si="6"/>
        <v>93990</v>
      </c>
      <c r="K325" s="9"/>
      <c r="L325" s="9"/>
      <c r="M325" s="9"/>
      <c r="N325" s="9">
        <f t="shared" si="7"/>
        <v>16.61775106</v>
      </c>
      <c r="O325" s="10">
        <f t="shared" si="8"/>
        <v>21.32730015</v>
      </c>
      <c r="P325" s="9">
        <v>30.0</v>
      </c>
      <c r="Q325" s="11" t="str">
        <f t="shared" si="9"/>
        <v>¡Compra YA!</v>
      </c>
      <c r="R325" s="12"/>
      <c r="S325" s="8"/>
      <c r="T325" s="12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5.75" customHeight="1">
      <c r="A326" s="5" t="s">
        <v>647</v>
      </c>
      <c r="B326" s="6" t="s">
        <v>648</v>
      </c>
      <c r="C326" s="6">
        <f t="shared" si="1"/>
        <v>4731</v>
      </c>
      <c r="D326" s="6">
        <f t="shared" si="38"/>
        <v>268</v>
      </c>
      <c r="E326" s="7">
        <v>0.0</v>
      </c>
      <c r="F326" s="8"/>
      <c r="G326" s="6">
        <f t="shared" si="3"/>
        <v>5705</v>
      </c>
      <c r="H326" s="6">
        <f t="shared" si="4"/>
        <v>13508</v>
      </c>
      <c r="I326" s="6">
        <f t="shared" si="5"/>
        <v>20589</v>
      </c>
      <c r="J326" s="6">
        <f t="shared" si="6"/>
        <v>68543</v>
      </c>
      <c r="K326" s="9"/>
      <c r="L326" s="9"/>
      <c r="M326" s="9"/>
      <c r="N326" s="9">
        <f t="shared" si="7"/>
        <v>14.48805749</v>
      </c>
      <c r="O326" s="10">
        <f t="shared" si="8"/>
        <v>24.87817704</v>
      </c>
      <c r="P326" s="9">
        <v>30.0</v>
      </c>
      <c r="Q326" s="11" t="str">
        <f t="shared" si="9"/>
        <v>¡Compra YA!</v>
      </c>
      <c r="R326" s="12"/>
      <c r="S326" s="8"/>
      <c r="T326" s="12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5.75" customHeight="1">
      <c r="A327" s="5" t="s">
        <v>649</v>
      </c>
      <c r="B327" s="6" t="s">
        <v>650</v>
      </c>
      <c r="C327" s="6">
        <f t="shared" si="1"/>
        <v>4674</v>
      </c>
      <c r="D327" s="6">
        <f t="shared" si="38"/>
        <v>60</v>
      </c>
      <c r="E327" s="7">
        <v>0.0</v>
      </c>
      <c r="F327" s="8"/>
      <c r="G327" s="6">
        <f t="shared" si="3"/>
        <v>8552</v>
      </c>
      <c r="H327" s="6">
        <f t="shared" si="4"/>
        <v>17863</v>
      </c>
      <c r="I327" s="6">
        <f t="shared" si="5"/>
        <v>27019</v>
      </c>
      <c r="J327" s="6">
        <f t="shared" si="6"/>
        <v>96656</v>
      </c>
      <c r="K327" s="9"/>
      <c r="L327" s="9"/>
      <c r="M327" s="9"/>
      <c r="N327" s="9">
        <f t="shared" si="7"/>
        <v>20.67950364</v>
      </c>
      <c r="O327" s="10">
        <f t="shared" si="8"/>
        <v>16.39616464</v>
      </c>
      <c r="P327" s="9">
        <v>30.0</v>
      </c>
      <c r="Q327" s="11" t="str">
        <f t="shared" si="9"/>
        <v>¡Compra YA!</v>
      </c>
      <c r="R327" s="12"/>
      <c r="S327" s="8"/>
      <c r="T327" s="12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5.75" customHeight="1">
      <c r="A328" s="5" t="s">
        <v>651</v>
      </c>
      <c r="B328" s="6" t="s">
        <v>652</v>
      </c>
      <c r="C328" s="6">
        <f t="shared" si="1"/>
        <v>5162</v>
      </c>
      <c r="D328" s="6">
        <f t="shared" si="38"/>
        <v>49</v>
      </c>
      <c r="E328" s="7">
        <v>0.0</v>
      </c>
      <c r="F328" s="8"/>
      <c r="G328" s="6">
        <f t="shared" si="3"/>
        <v>6708</v>
      </c>
      <c r="H328" s="6">
        <f t="shared" si="4"/>
        <v>15108</v>
      </c>
      <c r="I328" s="6">
        <f t="shared" si="5"/>
        <v>19274</v>
      </c>
      <c r="J328" s="6">
        <f t="shared" si="6"/>
        <v>63464</v>
      </c>
      <c r="K328" s="9"/>
      <c r="L328" s="9"/>
      <c r="M328" s="9"/>
      <c r="N328" s="9">
        <f t="shared" si="7"/>
        <v>12.29445951</v>
      </c>
      <c r="O328" s="10">
        <f t="shared" si="8"/>
        <v>23.08586762</v>
      </c>
      <c r="P328" s="9">
        <v>30.0</v>
      </c>
      <c r="Q328" s="11" t="str">
        <f t="shared" si="9"/>
        <v>¡Compra YA!</v>
      </c>
      <c r="R328" s="12"/>
      <c r="S328" s="8"/>
      <c r="T328" s="12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5.75" customHeight="1">
      <c r="A329" s="5" t="s">
        <v>653</v>
      </c>
      <c r="B329" s="6" t="s">
        <v>654</v>
      </c>
      <c r="C329" s="6">
        <f t="shared" si="1"/>
        <v>7544</v>
      </c>
      <c r="D329" s="6">
        <f t="shared" si="38"/>
        <v>168</v>
      </c>
      <c r="E329" s="7">
        <v>0.0</v>
      </c>
      <c r="F329" s="8"/>
      <c r="G329" s="6">
        <f t="shared" si="3"/>
        <v>5990</v>
      </c>
      <c r="H329" s="6">
        <f t="shared" si="4"/>
        <v>16998</v>
      </c>
      <c r="I329" s="6">
        <f t="shared" si="5"/>
        <v>23145</v>
      </c>
      <c r="J329" s="6">
        <f t="shared" si="6"/>
        <v>72285</v>
      </c>
      <c r="K329" s="9"/>
      <c r="L329" s="9"/>
      <c r="M329" s="9"/>
      <c r="N329" s="9">
        <f t="shared" si="7"/>
        <v>9.58178685</v>
      </c>
      <c r="O329" s="10">
        <f t="shared" si="8"/>
        <v>37.78297162</v>
      </c>
      <c r="P329" s="9">
        <v>30.0</v>
      </c>
      <c r="Q329" s="11" t="str">
        <f t="shared" si="9"/>
        <v>cobertura correcta</v>
      </c>
      <c r="R329" s="12"/>
      <c r="S329" s="8"/>
      <c r="T329" s="12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5.75" customHeight="1">
      <c r="A330" s="5" t="s">
        <v>655</v>
      </c>
      <c r="B330" s="6" t="s">
        <v>656</v>
      </c>
      <c r="C330" s="6">
        <f t="shared" si="1"/>
        <v>5086</v>
      </c>
      <c r="D330" s="6">
        <f t="shared" si="38"/>
        <v>201</v>
      </c>
      <c r="E330" s="7">
        <v>0.0</v>
      </c>
      <c r="F330" s="8"/>
      <c r="G330" s="6">
        <f t="shared" si="3"/>
        <v>2749</v>
      </c>
      <c r="H330" s="6">
        <f t="shared" si="4"/>
        <v>12284</v>
      </c>
      <c r="I330" s="6">
        <f t="shared" si="5"/>
        <v>22581</v>
      </c>
      <c r="J330" s="6">
        <f t="shared" si="6"/>
        <v>73829</v>
      </c>
      <c r="K330" s="9"/>
      <c r="L330" s="9"/>
      <c r="M330" s="9"/>
      <c r="N330" s="9">
        <f t="shared" si="7"/>
        <v>14.51612269</v>
      </c>
      <c r="O330" s="10">
        <f t="shared" si="8"/>
        <v>55.50381957</v>
      </c>
      <c r="P330" s="9">
        <v>30.0</v>
      </c>
      <c r="Q330" s="11" t="str">
        <f t="shared" si="9"/>
        <v>cobertura correcta</v>
      </c>
      <c r="R330" s="12"/>
      <c r="S330" s="8"/>
      <c r="T330" s="12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5.75" customHeight="1">
      <c r="A331" s="5" t="s">
        <v>657</v>
      </c>
      <c r="B331" s="6" t="s">
        <v>658</v>
      </c>
      <c r="C331" s="6">
        <f t="shared" si="1"/>
        <v>6050</v>
      </c>
      <c r="D331" s="6">
        <f t="shared" si="38"/>
        <v>42</v>
      </c>
      <c r="E331" s="7">
        <v>0.0</v>
      </c>
      <c r="F331" s="8"/>
      <c r="G331" s="6">
        <f t="shared" si="3"/>
        <v>7296</v>
      </c>
      <c r="H331" s="6">
        <f t="shared" si="4"/>
        <v>10417</v>
      </c>
      <c r="I331" s="6">
        <f t="shared" si="5"/>
        <v>19197</v>
      </c>
      <c r="J331" s="6">
        <f t="shared" si="6"/>
        <v>34441</v>
      </c>
      <c r="K331" s="9"/>
      <c r="L331" s="9"/>
      <c r="M331" s="9"/>
      <c r="N331" s="9">
        <f t="shared" si="7"/>
        <v>5.692727273</v>
      </c>
      <c r="O331" s="10">
        <f t="shared" si="8"/>
        <v>24.87664474</v>
      </c>
      <c r="P331" s="9">
        <v>30.0</v>
      </c>
      <c r="Q331" s="11" t="str">
        <f t="shared" si="9"/>
        <v>¡Compra YA!</v>
      </c>
      <c r="R331" s="12"/>
      <c r="S331" s="8"/>
      <c r="T331" s="12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5.75" customHeight="1">
      <c r="A332" s="5" t="s">
        <v>659</v>
      </c>
      <c r="B332" s="6" t="s">
        <v>660</v>
      </c>
      <c r="C332" s="6">
        <f t="shared" si="1"/>
        <v>5246</v>
      </c>
      <c r="D332" s="6">
        <f>RANDBETWEEN(0, 200)</f>
        <v>22</v>
      </c>
      <c r="E332" s="7">
        <v>0.0</v>
      </c>
      <c r="F332" s="8"/>
      <c r="G332" s="6">
        <f t="shared" si="3"/>
        <v>5166</v>
      </c>
      <c r="H332" s="6">
        <f t="shared" si="4"/>
        <v>17118</v>
      </c>
      <c r="I332" s="6">
        <f t="shared" si="5"/>
        <v>23207</v>
      </c>
      <c r="J332" s="6">
        <f t="shared" si="6"/>
        <v>86715</v>
      </c>
      <c r="K332" s="9"/>
      <c r="L332" s="9"/>
      <c r="M332" s="9"/>
      <c r="N332" s="9">
        <f t="shared" si="7"/>
        <v>16.52973694</v>
      </c>
      <c r="O332" s="10">
        <f t="shared" si="8"/>
        <v>30.46457607</v>
      </c>
      <c r="P332" s="9">
        <v>30.0</v>
      </c>
      <c r="Q332" s="11" t="str">
        <f t="shared" si="9"/>
        <v>cobertura correcta</v>
      </c>
      <c r="R332" s="12"/>
      <c r="S332" s="8"/>
      <c r="T332" s="12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5.75" customHeight="1">
      <c r="A333" s="5" t="s">
        <v>661</v>
      </c>
      <c r="B333" s="6" t="s">
        <v>662</v>
      </c>
      <c r="C333" s="6">
        <f t="shared" si="1"/>
        <v>6091</v>
      </c>
      <c r="D333" s="6">
        <f t="shared" ref="D333:D365" si="39">RANDBETWEEN(0, 100)</f>
        <v>54</v>
      </c>
      <c r="E333" s="7">
        <v>0.0</v>
      </c>
      <c r="F333" s="8"/>
      <c r="G333" s="6">
        <f t="shared" si="3"/>
        <v>3981</v>
      </c>
      <c r="H333" s="6">
        <f t="shared" si="4"/>
        <v>9855</v>
      </c>
      <c r="I333" s="6">
        <f t="shared" si="5"/>
        <v>24380</v>
      </c>
      <c r="J333" s="6">
        <f t="shared" si="6"/>
        <v>61483</v>
      </c>
      <c r="K333" s="9"/>
      <c r="L333" s="9"/>
      <c r="M333" s="9"/>
      <c r="N333" s="9">
        <f t="shared" si="7"/>
        <v>10.09407322</v>
      </c>
      <c r="O333" s="10">
        <f t="shared" si="8"/>
        <v>45.90052751</v>
      </c>
      <c r="P333" s="9">
        <v>30.0</v>
      </c>
      <c r="Q333" s="11" t="str">
        <f t="shared" si="9"/>
        <v>cobertura correcta</v>
      </c>
      <c r="R333" s="12"/>
      <c r="S333" s="8"/>
      <c r="T333" s="12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5.75" customHeight="1">
      <c r="A334" s="5" t="s">
        <v>663</v>
      </c>
      <c r="B334" s="6" t="s">
        <v>664</v>
      </c>
      <c r="C334" s="6">
        <f t="shared" si="1"/>
        <v>5546</v>
      </c>
      <c r="D334" s="6">
        <f t="shared" si="39"/>
        <v>83</v>
      </c>
      <c r="E334" s="7">
        <v>0.0</v>
      </c>
      <c r="F334" s="8"/>
      <c r="G334" s="6">
        <f t="shared" si="3"/>
        <v>8019</v>
      </c>
      <c r="H334" s="6">
        <f t="shared" si="4"/>
        <v>11308</v>
      </c>
      <c r="I334" s="6">
        <f t="shared" si="5"/>
        <v>20116</v>
      </c>
      <c r="J334" s="6">
        <f t="shared" si="6"/>
        <v>88281</v>
      </c>
      <c r="K334" s="9"/>
      <c r="L334" s="9"/>
      <c r="M334" s="9"/>
      <c r="N334" s="9">
        <f t="shared" si="7"/>
        <v>15.91795889</v>
      </c>
      <c r="O334" s="10">
        <f t="shared" si="8"/>
        <v>20.74822297</v>
      </c>
      <c r="P334" s="9">
        <v>30.0</v>
      </c>
      <c r="Q334" s="11" t="str">
        <f t="shared" si="9"/>
        <v>¡Compra YA!</v>
      </c>
      <c r="R334" s="12"/>
      <c r="S334" s="8"/>
      <c r="T334" s="12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5.75" customHeight="1">
      <c r="A335" s="5" t="s">
        <v>665</v>
      </c>
      <c r="B335" s="6" t="s">
        <v>666</v>
      </c>
      <c r="C335" s="6">
        <f t="shared" si="1"/>
        <v>2643</v>
      </c>
      <c r="D335" s="6">
        <f t="shared" si="39"/>
        <v>48</v>
      </c>
      <c r="E335" s="7">
        <v>0.0</v>
      </c>
      <c r="F335" s="8"/>
      <c r="G335" s="6">
        <f t="shared" si="3"/>
        <v>2106</v>
      </c>
      <c r="H335" s="6">
        <f t="shared" si="4"/>
        <v>16692</v>
      </c>
      <c r="I335" s="6">
        <f t="shared" si="5"/>
        <v>28744</v>
      </c>
      <c r="J335" s="6">
        <f t="shared" si="6"/>
        <v>74828</v>
      </c>
      <c r="K335" s="9"/>
      <c r="L335" s="9"/>
      <c r="M335" s="9"/>
      <c r="N335" s="9">
        <f t="shared" si="7"/>
        <v>28.31176693</v>
      </c>
      <c r="O335" s="10">
        <f t="shared" si="8"/>
        <v>37.64957265</v>
      </c>
      <c r="P335" s="9">
        <v>30.0</v>
      </c>
      <c r="Q335" s="11" t="str">
        <f t="shared" si="9"/>
        <v>cobertura correcta</v>
      </c>
      <c r="R335" s="12"/>
      <c r="S335" s="8"/>
      <c r="T335" s="12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5.75" customHeight="1">
      <c r="A336" s="5" t="s">
        <v>667</v>
      </c>
      <c r="B336" s="6" t="s">
        <v>668</v>
      </c>
      <c r="C336" s="6">
        <f t="shared" si="1"/>
        <v>1174</v>
      </c>
      <c r="D336" s="6">
        <f t="shared" si="39"/>
        <v>65</v>
      </c>
      <c r="E336" s="7">
        <v>0.0</v>
      </c>
      <c r="F336" s="8"/>
      <c r="G336" s="6">
        <f t="shared" si="3"/>
        <v>3394</v>
      </c>
      <c r="H336" s="6">
        <f t="shared" si="4"/>
        <v>10622</v>
      </c>
      <c r="I336" s="6">
        <f t="shared" si="5"/>
        <v>25795</v>
      </c>
      <c r="J336" s="6">
        <f t="shared" si="6"/>
        <v>63031</v>
      </c>
      <c r="K336" s="9"/>
      <c r="L336" s="9"/>
      <c r="M336" s="9"/>
      <c r="N336" s="9">
        <f t="shared" si="7"/>
        <v>53.6890971</v>
      </c>
      <c r="O336" s="10">
        <f t="shared" si="8"/>
        <v>10.37713612</v>
      </c>
      <c r="P336" s="9">
        <v>30.0</v>
      </c>
      <c r="Q336" s="11" t="str">
        <f t="shared" si="9"/>
        <v>¡Compra YA!</v>
      </c>
      <c r="R336" s="12"/>
      <c r="S336" s="8"/>
      <c r="T336" s="12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5.75" customHeight="1">
      <c r="A337" s="5" t="s">
        <v>669</v>
      </c>
      <c r="B337" s="6" t="s">
        <v>670</v>
      </c>
      <c r="C337" s="6">
        <f t="shared" si="1"/>
        <v>7759</v>
      </c>
      <c r="D337" s="6">
        <f t="shared" si="39"/>
        <v>76</v>
      </c>
      <c r="E337" s="7">
        <v>0.0</v>
      </c>
      <c r="F337" s="8"/>
      <c r="G337" s="6">
        <f t="shared" si="3"/>
        <v>2001</v>
      </c>
      <c r="H337" s="6">
        <f t="shared" si="4"/>
        <v>12255</v>
      </c>
      <c r="I337" s="6">
        <f t="shared" si="5"/>
        <v>21343</v>
      </c>
      <c r="J337" s="6">
        <f t="shared" si="6"/>
        <v>96701</v>
      </c>
      <c r="K337" s="9"/>
      <c r="L337" s="9"/>
      <c r="M337" s="9"/>
      <c r="N337" s="9">
        <f t="shared" si="7"/>
        <v>12.46307514</v>
      </c>
      <c r="O337" s="10">
        <f t="shared" si="8"/>
        <v>116.3268366</v>
      </c>
      <c r="P337" s="9">
        <v>30.0</v>
      </c>
      <c r="Q337" s="11" t="str">
        <f t="shared" si="9"/>
        <v>cobertura correcta</v>
      </c>
      <c r="R337" s="12"/>
      <c r="S337" s="8"/>
      <c r="T337" s="12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5.75" customHeight="1">
      <c r="A338" s="5" t="s">
        <v>671</v>
      </c>
      <c r="B338" s="6" t="s">
        <v>672</v>
      </c>
      <c r="C338" s="6">
        <f t="shared" si="1"/>
        <v>8063</v>
      </c>
      <c r="D338" s="6">
        <f t="shared" si="39"/>
        <v>47</v>
      </c>
      <c r="E338" s="7">
        <v>0.0</v>
      </c>
      <c r="F338" s="8"/>
      <c r="G338" s="6">
        <f t="shared" si="3"/>
        <v>5111</v>
      </c>
      <c r="H338" s="6">
        <f t="shared" si="4"/>
        <v>11861</v>
      </c>
      <c r="I338" s="6">
        <f t="shared" si="5"/>
        <v>23130</v>
      </c>
      <c r="J338" s="6">
        <f t="shared" si="6"/>
        <v>89848</v>
      </c>
      <c r="K338" s="9"/>
      <c r="L338" s="9"/>
      <c r="M338" s="9"/>
      <c r="N338" s="9">
        <f t="shared" si="7"/>
        <v>11.14324693</v>
      </c>
      <c r="O338" s="10">
        <f t="shared" si="8"/>
        <v>47.3273332</v>
      </c>
      <c r="P338" s="9">
        <v>30.0</v>
      </c>
      <c r="Q338" s="11" t="str">
        <f t="shared" si="9"/>
        <v>cobertura correcta</v>
      </c>
      <c r="R338" s="12"/>
      <c r="S338" s="8"/>
      <c r="T338" s="12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5.75" customHeight="1">
      <c r="A339" s="5" t="s">
        <v>673</v>
      </c>
      <c r="B339" s="6" t="s">
        <v>674</v>
      </c>
      <c r="C339" s="6">
        <f t="shared" si="1"/>
        <v>5962</v>
      </c>
      <c r="D339" s="6">
        <f t="shared" si="39"/>
        <v>80</v>
      </c>
      <c r="E339" s="7">
        <v>0.0</v>
      </c>
      <c r="F339" s="8"/>
      <c r="G339" s="6">
        <f t="shared" si="3"/>
        <v>1200</v>
      </c>
      <c r="H339" s="6">
        <f t="shared" si="4"/>
        <v>9041</v>
      </c>
      <c r="I339" s="6">
        <f t="shared" si="5"/>
        <v>19069</v>
      </c>
      <c r="J339" s="6">
        <f t="shared" si="6"/>
        <v>41592</v>
      </c>
      <c r="K339" s="9"/>
      <c r="L339" s="9"/>
      <c r="M339" s="9"/>
      <c r="N339" s="9">
        <f t="shared" si="7"/>
        <v>6.976182489</v>
      </c>
      <c r="O339" s="10">
        <f t="shared" si="8"/>
        <v>149.05</v>
      </c>
      <c r="P339" s="9">
        <v>30.0</v>
      </c>
      <c r="Q339" s="11" t="str">
        <f t="shared" si="9"/>
        <v>cobertura correcta</v>
      </c>
      <c r="R339" s="12"/>
      <c r="S339" s="8"/>
      <c r="T339" s="12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5.75" customHeight="1">
      <c r="A340" s="5" t="s">
        <v>675</v>
      </c>
      <c r="B340" s="6" t="s">
        <v>676</v>
      </c>
      <c r="C340" s="6">
        <f t="shared" si="1"/>
        <v>7367</v>
      </c>
      <c r="D340" s="6">
        <f t="shared" si="39"/>
        <v>15</v>
      </c>
      <c r="E340" s="7">
        <v>0.0</v>
      </c>
      <c r="F340" s="8"/>
      <c r="G340" s="6">
        <f t="shared" si="3"/>
        <v>5535</v>
      </c>
      <c r="H340" s="6">
        <f t="shared" si="4"/>
        <v>12809</v>
      </c>
      <c r="I340" s="6">
        <f t="shared" si="5"/>
        <v>23490</v>
      </c>
      <c r="J340" s="6">
        <f t="shared" si="6"/>
        <v>79259</v>
      </c>
      <c r="K340" s="9"/>
      <c r="L340" s="9"/>
      <c r="M340" s="9"/>
      <c r="N340" s="9">
        <f t="shared" si="7"/>
        <v>10.75865345</v>
      </c>
      <c r="O340" s="10">
        <f t="shared" si="8"/>
        <v>39.9295393</v>
      </c>
      <c r="P340" s="9">
        <v>30.0</v>
      </c>
      <c r="Q340" s="11" t="str">
        <f t="shared" si="9"/>
        <v>cobertura correcta</v>
      </c>
      <c r="R340" s="12"/>
      <c r="S340" s="8"/>
      <c r="T340" s="12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5.75" customHeight="1">
      <c r="A341" s="5" t="s">
        <v>677</v>
      </c>
      <c r="B341" s="6" t="s">
        <v>678</v>
      </c>
      <c r="C341" s="6">
        <f t="shared" si="1"/>
        <v>6738</v>
      </c>
      <c r="D341" s="6">
        <f t="shared" si="39"/>
        <v>39</v>
      </c>
      <c r="E341" s="7">
        <v>0.0</v>
      </c>
      <c r="F341" s="8"/>
      <c r="G341" s="6">
        <f t="shared" si="3"/>
        <v>5488</v>
      </c>
      <c r="H341" s="6">
        <f t="shared" si="4"/>
        <v>13333</v>
      </c>
      <c r="I341" s="6">
        <f t="shared" si="5"/>
        <v>26232</v>
      </c>
      <c r="J341" s="6">
        <f t="shared" si="6"/>
        <v>98554</v>
      </c>
      <c r="K341" s="9"/>
      <c r="L341" s="9"/>
      <c r="M341" s="9"/>
      <c r="N341" s="9">
        <f t="shared" si="7"/>
        <v>14.62659543</v>
      </c>
      <c r="O341" s="10">
        <f t="shared" si="8"/>
        <v>36.83309038</v>
      </c>
      <c r="P341" s="9">
        <v>30.0</v>
      </c>
      <c r="Q341" s="11" t="str">
        <f t="shared" si="9"/>
        <v>cobertura correcta</v>
      </c>
      <c r="R341" s="12"/>
      <c r="S341" s="8"/>
      <c r="T341" s="12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5.75" customHeight="1">
      <c r="A342" s="5" t="s">
        <v>679</v>
      </c>
      <c r="B342" s="6" t="s">
        <v>680</v>
      </c>
      <c r="C342" s="6">
        <f t="shared" si="1"/>
        <v>6602</v>
      </c>
      <c r="D342" s="6">
        <f t="shared" si="39"/>
        <v>22</v>
      </c>
      <c r="E342" s="7">
        <v>0.0</v>
      </c>
      <c r="F342" s="8"/>
      <c r="G342" s="6">
        <f t="shared" si="3"/>
        <v>7223</v>
      </c>
      <c r="H342" s="6">
        <f t="shared" si="4"/>
        <v>16674</v>
      </c>
      <c r="I342" s="6">
        <f t="shared" si="5"/>
        <v>21040</v>
      </c>
      <c r="J342" s="6">
        <f t="shared" si="6"/>
        <v>68294</v>
      </c>
      <c r="K342" s="9"/>
      <c r="L342" s="9"/>
      <c r="M342" s="9"/>
      <c r="N342" s="9">
        <f t="shared" si="7"/>
        <v>10.34444108</v>
      </c>
      <c r="O342" s="10">
        <f t="shared" si="8"/>
        <v>27.4207393</v>
      </c>
      <c r="P342" s="9">
        <v>30.0</v>
      </c>
      <c r="Q342" s="11" t="str">
        <f t="shared" si="9"/>
        <v>¡Compra YA!</v>
      </c>
      <c r="R342" s="12"/>
      <c r="S342" s="8"/>
      <c r="T342" s="12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5.75" customHeight="1">
      <c r="A343" s="5" t="s">
        <v>681</v>
      </c>
      <c r="B343" s="6" t="s">
        <v>682</v>
      </c>
      <c r="C343" s="6">
        <f t="shared" si="1"/>
        <v>2600</v>
      </c>
      <c r="D343" s="6">
        <f t="shared" si="39"/>
        <v>61</v>
      </c>
      <c r="E343" s="7">
        <v>0.0</v>
      </c>
      <c r="F343" s="8"/>
      <c r="G343" s="6">
        <f t="shared" si="3"/>
        <v>1427</v>
      </c>
      <c r="H343" s="6">
        <f t="shared" si="4"/>
        <v>13209</v>
      </c>
      <c r="I343" s="6">
        <f t="shared" si="5"/>
        <v>20828</v>
      </c>
      <c r="J343" s="6">
        <f t="shared" si="6"/>
        <v>94093</v>
      </c>
      <c r="K343" s="9"/>
      <c r="L343" s="9"/>
      <c r="M343" s="9"/>
      <c r="N343" s="9">
        <f t="shared" si="7"/>
        <v>36.18961538</v>
      </c>
      <c r="O343" s="10">
        <f t="shared" si="8"/>
        <v>54.66012614</v>
      </c>
      <c r="P343" s="9">
        <v>30.0</v>
      </c>
      <c r="Q343" s="11" t="str">
        <f t="shared" si="9"/>
        <v>cobertura correcta</v>
      </c>
      <c r="R343" s="12"/>
      <c r="S343" s="8"/>
      <c r="T343" s="12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5.75" customHeight="1">
      <c r="A344" s="5" t="s">
        <v>683</v>
      </c>
      <c r="B344" s="6" t="s">
        <v>684</v>
      </c>
      <c r="C344" s="6">
        <f t="shared" si="1"/>
        <v>5894</v>
      </c>
      <c r="D344" s="6">
        <f t="shared" si="39"/>
        <v>22</v>
      </c>
      <c r="E344" s="7">
        <v>0.0</v>
      </c>
      <c r="F344" s="8"/>
      <c r="G344" s="6">
        <f t="shared" si="3"/>
        <v>3177</v>
      </c>
      <c r="H344" s="6">
        <f t="shared" si="4"/>
        <v>11327</v>
      </c>
      <c r="I344" s="6">
        <f t="shared" si="5"/>
        <v>27775</v>
      </c>
      <c r="J344" s="6">
        <f t="shared" si="6"/>
        <v>88616</v>
      </c>
      <c r="K344" s="9"/>
      <c r="L344" s="9"/>
      <c r="M344" s="9"/>
      <c r="N344" s="9">
        <f t="shared" si="7"/>
        <v>15.0349508</v>
      </c>
      <c r="O344" s="10">
        <f t="shared" si="8"/>
        <v>55.65627951</v>
      </c>
      <c r="P344" s="9">
        <v>30.0</v>
      </c>
      <c r="Q344" s="11" t="str">
        <f t="shared" si="9"/>
        <v>cobertura correcta</v>
      </c>
      <c r="R344" s="12"/>
      <c r="S344" s="8"/>
      <c r="T344" s="12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5.75" customHeight="1">
      <c r="A345" s="5" t="s">
        <v>685</v>
      </c>
      <c r="B345" s="6" t="s">
        <v>686</v>
      </c>
      <c r="C345" s="6">
        <f t="shared" si="1"/>
        <v>5801</v>
      </c>
      <c r="D345" s="6">
        <f t="shared" si="39"/>
        <v>63</v>
      </c>
      <c r="E345" s="7">
        <v>0.0</v>
      </c>
      <c r="F345" s="8"/>
      <c r="G345" s="6">
        <f t="shared" si="3"/>
        <v>6516</v>
      </c>
      <c r="H345" s="6">
        <f t="shared" si="4"/>
        <v>11691</v>
      </c>
      <c r="I345" s="6">
        <f t="shared" si="5"/>
        <v>27885</v>
      </c>
      <c r="J345" s="6">
        <f t="shared" si="6"/>
        <v>58197</v>
      </c>
      <c r="K345" s="9"/>
      <c r="L345" s="9"/>
      <c r="M345" s="9"/>
      <c r="N345" s="9">
        <f t="shared" si="7"/>
        <v>10.03223582</v>
      </c>
      <c r="O345" s="10">
        <f t="shared" si="8"/>
        <v>26.70810313</v>
      </c>
      <c r="P345" s="9">
        <v>30.0</v>
      </c>
      <c r="Q345" s="11" t="str">
        <f t="shared" si="9"/>
        <v>¡Compra YA!</v>
      </c>
      <c r="R345" s="12"/>
      <c r="S345" s="8"/>
      <c r="T345" s="12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5.75" customHeight="1">
      <c r="A346" s="5" t="s">
        <v>687</v>
      </c>
      <c r="B346" s="6" t="s">
        <v>688</v>
      </c>
      <c r="C346" s="6">
        <f t="shared" si="1"/>
        <v>5122</v>
      </c>
      <c r="D346" s="6">
        <f t="shared" si="39"/>
        <v>67</v>
      </c>
      <c r="E346" s="7">
        <v>0.0</v>
      </c>
      <c r="F346" s="8"/>
      <c r="G346" s="6">
        <f t="shared" si="3"/>
        <v>8720</v>
      </c>
      <c r="H346" s="6">
        <f t="shared" si="4"/>
        <v>15165</v>
      </c>
      <c r="I346" s="6">
        <f t="shared" si="5"/>
        <v>19513</v>
      </c>
      <c r="J346" s="6">
        <f t="shared" si="6"/>
        <v>92956</v>
      </c>
      <c r="K346" s="9"/>
      <c r="L346" s="9"/>
      <c r="M346" s="9"/>
      <c r="N346" s="9">
        <f t="shared" si="7"/>
        <v>18.14837954</v>
      </c>
      <c r="O346" s="10">
        <f t="shared" si="8"/>
        <v>17.62155963</v>
      </c>
      <c r="P346" s="9">
        <v>30.0</v>
      </c>
      <c r="Q346" s="11" t="str">
        <f t="shared" si="9"/>
        <v>¡Compra YA!</v>
      </c>
      <c r="R346" s="12"/>
      <c r="S346" s="8"/>
      <c r="T346" s="12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5.75" customHeight="1">
      <c r="A347" s="5" t="s">
        <v>689</v>
      </c>
      <c r="B347" s="6" t="s">
        <v>690</v>
      </c>
      <c r="C347" s="6">
        <f t="shared" si="1"/>
        <v>2800</v>
      </c>
      <c r="D347" s="6">
        <f t="shared" si="39"/>
        <v>31</v>
      </c>
      <c r="E347" s="7">
        <v>0.0</v>
      </c>
      <c r="F347" s="8"/>
      <c r="G347" s="6">
        <f t="shared" si="3"/>
        <v>7885</v>
      </c>
      <c r="H347" s="6">
        <f t="shared" si="4"/>
        <v>17734</v>
      </c>
      <c r="I347" s="6">
        <f t="shared" si="5"/>
        <v>24360</v>
      </c>
      <c r="J347" s="6">
        <f t="shared" si="6"/>
        <v>95801</v>
      </c>
      <c r="K347" s="9"/>
      <c r="L347" s="9"/>
      <c r="M347" s="9"/>
      <c r="N347" s="9">
        <f t="shared" si="7"/>
        <v>34.21464286</v>
      </c>
      <c r="O347" s="10">
        <f t="shared" si="8"/>
        <v>10.65313887</v>
      </c>
      <c r="P347" s="9">
        <v>30.0</v>
      </c>
      <c r="Q347" s="11" t="str">
        <f t="shared" si="9"/>
        <v>¡Compra YA!</v>
      </c>
      <c r="R347" s="12"/>
      <c r="S347" s="8"/>
      <c r="T347" s="12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5.75" customHeight="1">
      <c r="A348" s="5" t="s">
        <v>691</v>
      </c>
      <c r="B348" s="6" t="s">
        <v>692</v>
      </c>
      <c r="C348" s="6">
        <f t="shared" si="1"/>
        <v>8056</v>
      </c>
      <c r="D348" s="6">
        <f t="shared" si="39"/>
        <v>4</v>
      </c>
      <c r="E348" s="7">
        <v>0.0</v>
      </c>
      <c r="F348" s="8"/>
      <c r="G348" s="6">
        <f t="shared" si="3"/>
        <v>6333</v>
      </c>
      <c r="H348" s="6">
        <f t="shared" si="4"/>
        <v>9058</v>
      </c>
      <c r="I348" s="6">
        <f t="shared" si="5"/>
        <v>20278</v>
      </c>
      <c r="J348" s="6">
        <f t="shared" si="6"/>
        <v>82523</v>
      </c>
      <c r="K348" s="9"/>
      <c r="L348" s="9"/>
      <c r="M348" s="9"/>
      <c r="N348" s="9">
        <f t="shared" si="7"/>
        <v>10.24366931</v>
      </c>
      <c r="O348" s="10">
        <f t="shared" si="8"/>
        <v>38.16200853</v>
      </c>
      <c r="P348" s="9">
        <v>30.0</v>
      </c>
      <c r="Q348" s="11" t="str">
        <f t="shared" si="9"/>
        <v>cobertura correcta</v>
      </c>
      <c r="R348" s="12"/>
      <c r="S348" s="8"/>
      <c r="T348" s="12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5.75" customHeight="1">
      <c r="A349" s="5" t="s">
        <v>693</v>
      </c>
      <c r="B349" s="6" t="s">
        <v>694</v>
      </c>
      <c r="C349" s="6">
        <f t="shared" si="1"/>
        <v>4805</v>
      </c>
      <c r="D349" s="6">
        <f t="shared" si="39"/>
        <v>83</v>
      </c>
      <c r="E349" s="7">
        <v>0.0</v>
      </c>
      <c r="F349" s="8"/>
      <c r="G349" s="6">
        <f t="shared" si="3"/>
        <v>7790</v>
      </c>
      <c r="H349" s="6">
        <f t="shared" si="4"/>
        <v>12734</v>
      </c>
      <c r="I349" s="6">
        <f t="shared" si="5"/>
        <v>20924</v>
      </c>
      <c r="J349" s="6">
        <f t="shared" si="6"/>
        <v>64057</v>
      </c>
      <c r="K349" s="9"/>
      <c r="L349" s="9"/>
      <c r="M349" s="9"/>
      <c r="N349" s="9">
        <f t="shared" si="7"/>
        <v>13.33132154</v>
      </c>
      <c r="O349" s="10">
        <f t="shared" si="8"/>
        <v>18.50449294</v>
      </c>
      <c r="P349" s="9">
        <v>30.0</v>
      </c>
      <c r="Q349" s="11" t="str">
        <f t="shared" si="9"/>
        <v>¡Compra YA!</v>
      </c>
      <c r="R349" s="12"/>
      <c r="S349" s="8"/>
      <c r="T349" s="12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5.75" customHeight="1">
      <c r="A350" s="5" t="s">
        <v>695</v>
      </c>
      <c r="B350" s="6" t="s">
        <v>696</v>
      </c>
      <c r="C350" s="6">
        <f t="shared" si="1"/>
        <v>1952</v>
      </c>
      <c r="D350" s="6">
        <f t="shared" si="39"/>
        <v>85</v>
      </c>
      <c r="E350" s="7">
        <v>0.0</v>
      </c>
      <c r="F350" s="8"/>
      <c r="G350" s="6">
        <f t="shared" si="3"/>
        <v>3679</v>
      </c>
      <c r="H350" s="6">
        <f t="shared" si="4"/>
        <v>11664</v>
      </c>
      <c r="I350" s="6">
        <f t="shared" si="5"/>
        <v>22938</v>
      </c>
      <c r="J350" s="6">
        <f t="shared" si="6"/>
        <v>54942</v>
      </c>
      <c r="K350" s="9"/>
      <c r="L350" s="9"/>
      <c r="M350" s="9"/>
      <c r="N350" s="9">
        <f t="shared" si="7"/>
        <v>28.14651639</v>
      </c>
      <c r="O350" s="10">
        <f t="shared" si="8"/>
        <v>15.91736885</v>
      </c>
      <c r="P350" s="9">
        <v>30.0</v>
      </c>
      <c r="Q350" s="11" t="str">
        <f t="shared" si="9"/>
        <v>¡Compra YA!</v>
      </c>
      <c r="R350" s="12"/>
      <c r="S350" s="8"/>
      <c r="T350" s="12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5.75" customHeight="1">
      <c r="A351" s="5" t="s">
        <v>697</v>
      </c>
      <c r="B351" s="6" t="s">
        <v>698</v>
      </c>
      <c r="C351" s="6">
        <f t="shared" si="1"/>
        <v>1950</v>
      </c>
      <c r="D351" s="6">
        <f t="shared" si="39"/>
        <v>17</v>
      </c>
      <c r="E351" s="7">
        <v>0.0</v>
      </c>
      <c r="F351" s="8"/>
      <c r="G351" s="6">
        <f t="shared" si="3"/>
        <v>2928</v>
      </c>
      <c r="H351" s="6">
        <f t="shared" si="4"/>
        <v>13838</v>
      </c>
      <c r="I351" s="6">
        <f t="shared" si="5"/>
        <v>28449</v>
      </c>
      <c r="J351" s="6">
        <f t="shared" si="6"/>
        <v>85056</v>
      </c>
      <c r="K351" s="9"/>
      <c r="L351" s="9"/>
      <c r="M351" s="9"/>
      <c r="N351" s="9">
        <f t="shared" si="7"/>
        <v>43.61846154</v>
      </c>
      <c r="O351" s="10">
        <f t="shared" si="8"/>
        <v>19.9795082</v>
      </c>
      <c r="P351" s="9">
        <v>30.0</v>
      </c>
      <c r="Q351" s="11" t="str">
        <f t="shared" si="9"/>
        <v>¡Compra YA!</v>
      </c>
      <c r="R351" s="12"/>
      <c r="S351" s="8"/>
      <c r="T351" s="12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5.75" customHeight="1">
      <c r="A352" s="5" t="s">
        <v>699</v>
      </c>
      <c r="B352" s="6" t="s">
        <v>700</v>
      </c>
      <c r="C352" s="6">
        <f t="shared" si="1"/>
        <v>3075</v>
      </c>
      <c r="D352" s="6">
        <f t="shared" si="39"/>
        <v>60</v>
      </c>
      <c r="E352" s="7">
        <v>0.0</v>
      </c>
      <c r="F352" s="8"/>
      <c r="G352" s="6">
        <f t="shared" si="3"/>
        <v>5522</v>
      </c>
      <c r="H352" s="6">
        <f t="shared" si="4"/>
        <v>10791</v>
      </c>
      <c r="I352" s="6">
        <f t="shared" si="5"/>
        <v>19375</v>
      </c>
      <c r="J352" s="6">
        <f t="shared" si="6"/>
        <v>80229</v>
      </c>
      <c r="K352" s="9"/>
      <c r="L352" s="9"/>
      <c r="M352" s="9"/>
      <c r="N352" s="9">
        <f t="shared" si="7"/>
        <v>26.09073171</v>
      </c>
      <c r="O352" s="10">
        <f t="shared" si="8"/>
        <v>16.70590366</v>
      </c>
      <c r="P352" s="9">
        <v>30.0</v>
      </c>
      <c r="Q352" s="11" t="str">
        <f t="shared" si="9"/>
        <v>¡Compra YA!</v>
      </c>
      <c r="R352" s="12"/>
      <c r="S352" s="8"/>
      <c r="T352" s="12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5.75" customHeight="1">
      <c r="A353" s="5" t="s">
        <v>701</v>
      </c>
      <c r="B353" s="6" t="s">
        <v>702</v>
      </c>
      <c r="C353" s="6">
        <f t="shared" si="1"/>
        <v>4877</v>
      </c>
      <c r="D353" s="6">
        <f t="shared" si="39"/>
        <v>19</v>
      </c>
      <c r="E353" s="7">
        <v>0.0</v>
      </c>
      <c r="F353" s="8"/>
      <c r="G353" s="6">
        <f t="shared" si="3"/>
        <v>6623</v>
      </c>
      <c r="H353" s="6">
        <f t="shared" si="4"/>
        <v>18749</v>
      </c>
      <c r="I353" s="6">
        <f t="shared" si="5"/>
        <v>27496</v>
      </c>
      <c r="J353" s="6">
        <f t="shared" si="6"/>
        <v>36141</v>
      </c>
      <c r="K353" s="9"/>
      <c r="L353" s="9"/>
      <c r="M353" s="9"/>
      <c r="N353" s="9">
        <f t="shared" si="7"/>
        <v>7.410498257</v>
      </c>
      <c r="O353" s="10">
        <f t="shared" si="8"/>
        <v>22.09119734</v>
      </c>
      <c r="P353" s="9">
        <v>30.0</v>
      </c>
      <c r="Q353" s="11" t="str">
        <f t="shared" si="9"/>
        <v>¡Compra YA!</v>
      </c>
      <c r="R353" s="12"/>
      <c r="S353" s="8"/>
      <c r="T353" s="12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5.75" customHeight="1">
      <c r="A354" s="5" t="s">
        <v>703</v>
      </c>
      <c r="B354" s="6" t="s">
        <v>704</v>
      </c>
      <c r="C354" s="6">
        <f t="shared" si="1"/>
        <v>4618</v>
      </c>
      <c r="D354" s="6">
        <f t="shared" si="39"/>
        <v>83</v>
      </c>
      <c r="E354" s="7">
        <v>0.0</v>
      </c>
      <c r="F354" s="8"/>
      <c r="G354" s="6">
        <f t="shared" si="3"/>
        <v>3156</v>
      </c>
      <c r="H354" s="6">
        <f t="shared" si="4"/>
        <v>9686</v>
      </c>
      <c r="I354" s="6">
        <f t="shared" si="5"/>
        <v>27269</v>
      </c>
      <c r="J354" s="6">
        <f t="shared" si="6"/>
        <v>30627</v>
      </c>
      <c r="K354" s="9"/>
      <c r="L354" s="9"/>
      <c r="M354" s="9"/>
      <c r="N354" s="9">
        <f t="shared" si="7"/>
        <v>6.632091815</v>
      </c>
      <c r="O354" s="10">
        <f t="shared" si="8"/>
        <v>43.8973384</v>
      </c>
      <c r="P354" s="9">
        <v>30.0</v>
      </c>
      <c r="Q354" s="11" t="str">
        <f t="shared" si="9"/>
        <v>cobertura correcta</v>
      </c>
      <c r="R354" s="12"/>
      <c r="S354" s="8"/>
      <c r="T354" s="12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5.75" customHeight="1">
      <c r="A355" s="5" t="s">
        <v>705</v>
      </c>
      <c r="B355" s="6" t="s">
        <v>706</v>
      </c>
      <c r="C355" s="6">
        <f t="shared" si="1"/>
        <v>2866</v>
      </c>
      <c r="D355" s="6">
        <f t="shared" si="39"/>
        <v>47</v>
      </c>
      <c r="E355" s="7">
        <v>0.0</v>
      </c>
      <c r="F355" s="8"/>
      <c r="G355" s="6">
        <f t="shared" si="3"/>
        <v>2371</v>
      </c>
      <c r="H355" s="6">
        <f t="shared" si="4"/>
        <v>18341</v>
      </c>
      <c r="I355" s="6">
        <f t="shared" si="5"/>
        <v>26583</v>
      </c>
      <c r="J355" s="6">
        <f t="shared" si="6"/>
        <v>64724</v>
      </c>
      <c r="K355" s="9"/>
      <c r="L355" s="9"/>
      <c r="M355" s="9"/>
      <c r="N355" s="9">
        <f t="shared" si="7"/>
        <v>22.58339149</v>
      </c>
      <c r="O355" s="10">
        <f t="shared" si="8"/>
        <v>36.26318009</v>
      </c>
      <c r="P355" s="9">
        <v>30.0</v>
      </c>
      <c r="Q355" s="11" t="str">
        <f t="shared" si="9"/>
        <v>cobertura correcta</v>
      </c>
      <c r="R355" s="12"/>
      <c r="S355" s="8"/>
      <c r="T355" s="12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5.75" customHeight="1">
      <c r="A356" s="5" t="s">
        <v>707</v>
      </c>
      <c r="B356" s="6" t="s">
        <v>708</v>
      </c>
      <c r="C356" s="6">
        <f t="shared" si="1"/>
        <v>6361</v>
      </c>
      <c r="D356" s="6">
        <f t="shared" si="39"/>
        <v>99</v>
      </c>
      <c r="E356" s="7">
        <v>0.0</v>
      </c>
      <c r="F356" s="8"/>
      <c r="G356" s="6">
        <f t="shared" si="3"/>
        <v>4574</v>
      </c>
      <c r="H356" s="6">
        <f t="shared" si="4"/>
        <v>15505</v>
      </c>
      <c r="I356" s="6">
        <f t="shared" si="5"/>
        <v>20907</v>
      </c>
      <c r="J356" s="6">
        <f t="shared" si="6"/>
        <v>74117</v>
      </c>
      <c r="K356" s="9"/>
      <c r="L356" s="9"/>
      <c r="M356" s="9"/>
      <c r="N356" s="9">
        <f t="shared" si="7"/>
        <v>11.65178431</v>
      </c>
      <c r="O356" s="10">
        <f t="shared" si="8"/>
        <v>41.72059467</v>
      </c>
      <c r="P356" s="9">
        <v>30.0</v>
      </c>
      <c r="Q356" s="11" t="str">
        <f t="shared" si="9"/>
        <v>cobertura correcta</v>
      </c>
      <c r="R356" s="12"/>
      <c r="S356" s="8"/>
      <c r="T356" s="12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5.75" customHeight="1">
      <c r="A357" s="5" t="s">
        <v>709</v>
      </c>
      <c r="B357" s="6" t="s">
        <v>710</v>
      </c>
      <c r="C357" s="6">
        <f t="shared" si="1"/>
        <v>4252</v>
      </c>
      <c r="D357" s="6">
        <f t="shared" si="39"/>
        <v>9</v>
      </c>
      <c r="E357" s="7">
        <v>0.0</v>
      </c>
      <c r="F357" s="8"/>
      <c r="G357" s="6">
        <f t="shared" si="3"/>
        <v>5099</v>
      </c>
      <c r="H357" s="6">
        <f t="shared" si="4"/>
        <v>10832</v>
      </c>
      <c r="I357" s="6">
        <f t="shared" si="5"/>
        <v>24582</v>
      </c>
      <c r="J357" s="6">
        <f t="shared" si="6"/>
        <v>34473</v>
      </c>
      <c r="K357" s="9"/>
      <c r="L357" s="9"/>
      <c r="M357" s="9"/>
      <c r="N357" s="9">
        <f t="shared" si="7"/>
        <v>8.107478833</v>
      </c>
      <c r="O357" s="10">
        <f t="shared" si="8"/>
        <v>25.01666994</v>
      </c>
      <c r="P357" s="9">
        <v>30.0</v>
      </c>
      <c r="Q357" s="11" t="str">
        <f t="shared" si="9"/>
        <v>¡Compra YA!</v>
      </c>
      <c r="R357" s="12"/>
      <c r="S357" s="8"/>
      <c r="T357" s="12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5.75" customHeight="1">
      <c r="A358" s="5" t="s">
        <v>711</v>
      </c>
      <c r="B358" s="6" t="s">
        <v>712</v>
      </c>
      <c r="C358" s="6">
        <f t="shared" si="1"/>
        <v>4753</v>
      </c>
      <c r="D358" s="6">
        <f t="shared" si="39"/>
        <v>19</v>
      </c>
      <c r="E358" s="7">
        <v>0.0</v>
      </c>
      <c r="F358" s="8"/>
      <c r="G358" s="6">
        <f t="shared" si="3"/>
        <v>6912</v>
      </c>
      <c r="H358" s="6">
        <f t="shared" si="4"/>
        <v>10077</v>
      </c>
      <c r="I358" s="6">
        <f t="shared" si="5"/>
        <v>25515</v>
      </c>
      <c r="J358" s="6">
        <f t="shared" si="6"/>
        <v>68762</v>
      </c>
      <c r="K358" s="9"/>
      <c r="L358" s="9"/>
      <c r="M358" s="9"/>
      <c r="N358" s="9">
        <f t="shared" si="7"/>
        <v>14.46707343</v>
      </c>
      <c r="O358" s="10">
        <f t="shared" si="8"/>
        <v>20.62934028</v>
      </c>
      <c r="P358" s="9">
        <v>30.0</v>
      </c>
      <c r="Q358" s="11" t="str">
        <f t="shared" si="9"/>
        <v>¡Compra YA!</v>
      </c>
      <c r="R358" s="12"/>
      <c r="S358" s="8"/>
      <c r="T358" s="12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5.75" customHeight="1">
      <c r="A359" s="5" t="s">
        <v>713</v>
      </c>
      <c r="B359" s="6" t="s">
        <v>714</v>
      </c>
      <c r="C359" s="6">
        <f t="shared" si="1"/>
        <v>4284</v>
      </c>
      <c r="D359" s="6">
        <f t="shared" si="39"/>
        <v>92</v>
      </c>
      <c r="E359" s="7">
        <v>0.0</v>
      </c>
      <c r="F359" s="8"/>
      <c r="G359" s="6">
        <f t="shared" si="3"/>
        <v>2261</v>
      </c>
      <c r="H359" s="6">
        <f t="shared" si="4"/>
        <v>14440</v>
      </c>
      <c r="I359" s="6">
        <f t="shared" si="5"/>
        <v>27746</v>
      </c>
      <c r="J359" s="6">
        <f t="shared" si="6"/>
        <v>39802</v>
      </c>
      <c r="K359" s="9"/>
      <c r="L359" s="9"/>
      <c r="M359" s="9"/>
      <c r="N359" s="9">
        <f t="shared" si="7"/>
        <v>9.290849673</v>
      </c>
      <c r="O359" s="10">
        <f t="shared" si="8"/>
        <v>56.84210526</v>
      </c>
      <c r="P359" s="9">
        <v>30.0</v>
      </c>
      <c r="Q359" s="11" t="str">
        <f t="shared" si="9"/>
        <v>cobertura correcta</v>
      </c>
      <c r="R359" s="12"/>
      <c r="S359" s="8"/>
      <c r="T359" s="12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5.75" customHeight="1">
      <c r="A360" s="5" t="s">
        <v>715</v>
      </c>
      <c r="B360" s="6" t="s">
        <v>716</v>
      </c>
      <c r="C360" s="6">
        <f t="shared" si="1"/>
        <v>3923</v>
      </c>
      <c r="D360" s="6">
        <f t="shared" si="39"/>
        <v>28</v>
      </c>
      <c r="E360" s="7">
        <v>0.0</v>
      </c>
      <c r="F360" s="8"/>
      <c r="G360" s="6">
        <f t="shared" si="3"/>
        <v>5320</v>
      </c>
      <c r="H360" s="6">
        <f t="shared" si="4"/>
        <v>15935</v>
      </c>
      <c r="I360" s="6">
        <f t="shared" si="5"/>
        <v>22863</v>
      </c>
      <c r="J360" s="6">
        <f t="shared" si="6"/>
        <v>64590</v>
      </c>
      <c r="K360" s="9"/>
      <c r="L360" s="9"/>
      <c r="M360" s="9"/>
      <c r="N360" s="9">
        <f t="shared" si="7"/>
        <v>16.46444048</v>
      </c>
      <c r="O360" s="10">
        <f t="shared" si="8"/>
        <v>22.12218045</v>
      </c>
      <c r="P360" s="9">
        <v>30.0</v>
      </c>
      <c r="Q360" s="11" t="str">
        <f t="shared" si="9"/>
        <v>¡Compra YA!</v>
      </c>
      <c r="R360" s="12"/>
      <c r="S360" s="8"/>
      <c r="T360" s="12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5.75" customHeight="1">
      <c r="A361" s="5" t="s">
        <v>717</v>
      </c>
      <c r="B361" s="6" t="s">
        <v>718</v>
      </c>
      <c r="C361" s="6">
        <f t="shared" si="1"/>
        <v>6981</v>
      </c>
      <c r="D361" s="6">
        <f t="shared" si="39"/>
        <v>45</v>
      </c>
      <c r="E361" s="7">
        <v>0.0</v>
      </c>
      <c r="F361" s="8"/>
      <c r="G361" s="6">
        <f t="shared" si="3"/>
        <v>8754</v>
      </c>
      <c r="H361" s="6">
        <f t="shared" si="4"/>
        <v>18677</v>
      </c>
      <c r="I361" s="6">
        <f t="shared" si="5"/>
        <v>26483</v>
      </c>
      <c r="J361" s="6">
        <f t="shared" si="6"/>
        <v>79616</v>
      </c>
      <c r="K361" s="9"/>
      <c r="L361" s="9"/>
      <c r="M361" s="9"/>
      <c r="N361" s="9">
        <f t="shared" si="7"/>
        <v>11.40466982</v>
      </c>
      <c r="O361" s="10">
        <f t="shared" si="8"/>
        <v>23.92392049</v>
      </c>
      <c r="P361" s="9">
        <v>30.0</v>
      </c>
      <c r="Q361" s="11" t="str">
        <f t="shared" si="9"/>
        <v>¡Compra YA!</v>
      </c>
      <c r="R361" s="12"/>
      <c r="S361" s="8"/>
      <c r="T361" s="12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5.75" customHeight="1">
      <c r="A362" s="5" t="s">
        <v>719</v>
      </c>
      <c r="B362" s="6" t="s">
        <v>720</v>
      </c>
      <c r="C362" s="6">
        <f t="shared" si="1"/>
        <v>3483</v>
      </c>
      <c r="D362" s="6">
        <f t="shared" si="39"/>
        <v>90</v>
      </c>
      <c r="E362" s="7">
        <v>0.0</v>
      </c>
      <c r="F362" s="8"/>
      <c r="G362" s="6">
        <f t="shared" si="3"/>
        <v>2570</v>
      </c>
      <c r="H362" s="6">
        <f t="shared" si="4"/>
        <v>14607</v>
      </c>
      <c r="I362" s="6">
        <f t="shared" si="5"/>
        <v>27386</v>
      </c>
      <c r="J362" s="6">
        <f t="shared" si="6"/>
        <v>77483</v>
      </c>
      <c r="K362" s="9"/>
      <c r="L362" s="9"/>
      <c r="M362" s="9"/>
      <c r="N362" s="9">
        <f t="shared" si="7"/>
        <v>22.24605225</v>
      </c>
      <c r="O362" s="10">
        <f t="shared" si="8"/>
        <v>40.65758755</v>
      </c>
      <c r="P362" s="9">
        <v>30.0</v>
      </c>
      <c r="Q362" s="11" t="str">
        <f t="shared" si="9"/>
        <v>cobertura correcta</v>
      </c>
      <c r="R362" s="12"/>
      <c r="S362" s="8"/>
      <c r="T362" s="12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5.75" customHeight="1">
      <c r="A363" s="5" t="s">
        <v>721</v>
      </c>
      <c r="B363" s="6" t="s">
        <v>722</v>
      </c>
      <c r="C363" s="6">
        <f t="shared" si="1"/>
        <v>3876</v>
      </c>
      <c r="D363" s="6">
        <f t="shared" si="39"/>
        <v>82</v>
      </c>
      <c r="E363" s="7">
        <v>0.0</v>
      </c>
      <c r="F363" s="8"/>
      <c r="G363" s="6">
        <f t="shared" si="3"/>
        <v>4369</v>
      </c>
      <c r="H363" s="6">
        <f t="shared" si="4"/>
        <v>9133</v>
      </c>
      <c r="I363" s="6">
        <f t="shared" si="5"/>
        <v>28627</v>
      </c>
      <c r="J363" s="6">
        <f t="shared" si="6"/>
        <v>70206</v>
      </c>
      <c r="K363" s="9"/>
      <c r="L363" s="9"/>
      <c r="M363" s="9"/>
      <c r="N363" s="9">
        <f t="shared" si="7"/>
        <v>18.1130031</v>
      </c>
      <c r="O363" s="10">
        <f t="shared" si="8"/>
        <v>26.61478599</v>
      </c>
      <c r="P363" s="9">
        <v>30.0</v>
      </c>
      <c r="Q363" s="11" t="str">
        <f t="shared" si="9"/>
        <v>¡Compra YA!</v>
      </c>
      <c r="R363" s="12"/>
      <c r="S363" s="8"/>
      <c r="T363" s="12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5.75" customHeight="1">
      <c r="A364" s="5" t="s">
        <v>723</v>
      </c>
      <c r="B364" s="6" t="s">
        <v>724</v>
      </c>
      <c r="C364" s="6">
        <f t="shared" si="1"/>
        <v>8971</v>
      </c>
      <c r="D364" s="6">
        <f t="shared" si="39"/>
        <v>32</v>
      </c>
      <c r="E364" s="7">
        <v>0.0</v>
      </c>
      <c r="F364" s="8"/>
      <c r="G364" s="6">
        <f t="shared" si="3"/>
        <v>8232</v>
      </c>
      <c r="H364" s="6">
        <f t="shared" si="4"/>
        <v>9217</v>
      </c>
      <c r="I364" s="6">
        <f t="shared" si="5"/>
        <v>27540</v>
      </c>
      <c r="J364" s="6">
        <f t="shared" si="6"/>
        <v>97802</v>
      </c>
      <c r="K364" s="9"/>
      <c r="L364" s="9"/>
      <c r="M364" s="9"/>
      <c r="N364" s="9">
        <f t="shared" si="7"/>
        <v>10.90201761</v>
      </c>
      <c r="O364" s="10">
        <f t="shared" si="8"/>
        <v>32.69314869</v>
      </c>
      <c r="P364" s="9">
        <v>30.0</v>
      </c>
      <c r="Q364" s="11" t="str">
        <f t="shared" si="9"/>
        <v>cobertura correcta</v>
      </c>
      <c r="R364" s="12"/>
      <c r="S364" s="8"/>
      <c r="T364" s="12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5.75" customHeight="1">
      <c r="A365" s="5" t="s">
        <v>725</v>
      </c>
      <c r="B365" s="6" t="s">
        <v>726</v>
      </c>
      <c r="C365" s="6">
        <f t="shared" si="1"/>
        <v>4199</v>
      </c>
      <c r="D365" s="6">
        <f t="shared" si="39"/>
        <v>15</v>
      </c>
      <c r="E365" s="7">
        <v>0.0</v>
      </c>
      <c r="F365" s="8"/>
      <c r="G365" s="6">
        <f t="shared" si="3"/>
        <v>3557</v>
      </c>
      <c r="H365" s="6">
        <f t="shared" si="4"/>
        <v>17566</v>
      </c>
      <c r="I365" s="6">
        <f t="shared" si="5"/>
        <v>27716</v>
      </c>
      <c r="J365" s="6">
        <f t="shared" si="6"/>
        <v>75783</v>
      </c>
      <c r="K365" s="9"/>
      <c r="L365" s="9"/>
      <c r="M365" s="9"/>
      <c r="N365" s="9">
        <f t="shared" si="7"/>
        <v>18.04786854</v>
      </c>
      <c r="O365" s="10">
        <f t="shared" si="8"/>
        <v>35.41467529</v>
      </c>
      <c r="P365" s="9">
        <v>30.0</v>
      </c>
      <c r="Q365" s="11" t="str">
        <f t="shared" si="9"/>
        <v>cobertura correcta</v>
      </c>
      <c r="R365" s="12"/>
      <c r="S365" s="8"/>
      <c r="T365" s="12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5.75" customHeight="1">
      <c r="A366" s="5" t="s">
        <v>727</v>
      </c>
      <c r="B366" s="6" t="s">
        <v>728</v>
      </c>
      <c r="C366" s="6">
        <f t="shared" si="1"/>
        <v>1726</v>
      </c>
      <c r="D366" s="6">
        <f t="shared" ref="D366:D369" si="40">RANDBETWEEN(0, 200)</f>
        <v>45</v>
      </c>
      <c r="E366" s="7">
        <v>0.0</v>
      </c>
      <c r="F366" s="8"/>
      <c r="G366" s="6">
        <f t="shared" si="3"/>
        <v>3631</v>
      </c>
      <c r="H366" s="6">
        <f t="shared" si="4"/>
        <v>9513</v>
      </c>
      <c r="I366" s="6">
        <f t="shared" si="5"/>
        <v>25298</v>
      </c>
      <c r="J366" s="6">
        <f t="shared" si="6"/>
        <v>79867</v>
      </c>
      <c r="K366" s="9"/>
      <c r="L366" s="9"/>
      <c r="M366" s="9"/>
      <c r="N366" s="9">
        <f t="shared" si="7"/>
        <v>46.27288528</v>
      </c>
      <c r="O366" s="10">
        <f t="shared" si="8"/>
        <v>14.26053429</v>
      </c>
      <c r="P366" s="9">
        <v>30.0</v>
      </c>
      <c r="Q366" s="11" t="str">
        <f t="shared" si="9"/>
        <v>¡Compra YA!</v>
      </c>
      <c r="R366" s="12"/>
      <c r="S366" s="8"/>
      <c r="T366" s="12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5.75" customHeight="1">
      <c r="A367" s="5" t="s">
        <v>729</v>
      </c>
      <c r="B367" s="6" t="s">
        <v>730</v>
      </c>
      <c r="C367" s="6">
        <f t="shared" si="1"/>
        <v>8167</v>
      </c>
      <c r="D367" s="6">
        <f t="shared" si="40"/>
        <v>135</v>
      </c>
      <c r="E367" s="7">
        <v>0.0</v>
      </c>
      <c r="F367" s="8"/>
      <c r="G367" s="6">
        <f t="shared" si="3"/>
        <v>4590</v>
      </c>
      <c r="H367" s="6">
        <f t="shared" si="4"/>
        <v>11421</v>
      </c>
      <c r="I367" s="6">
        <f t="shared" si="5"/>
        <v>28156</v>
      </c>
      <c r="J367" s="6">
        <f t="shared" si="6"/>
        <v>40148</v>
      </c>
      <c r="K367" s="9"/>
      <c r="L367" s="9"/>
      <c r="M367" s="9"/>
      <c r="N367" s="9">
        <f t="shared" si="7"/>
        <v>4.915880984</v>
      </c>
      <c r="O367" s="10">
        <f t="shared" si="8"/>
        <v>53.37908497</v>
      </c>
      <c r="P367" s="9">
        <v>30.0</v>
      </c>
      <c r="Q367" s="11" t="str">
        <f t="shared" si="9"/>
        <v>cobertura correcta</v>
      </c>
      <c r="R367" s="12"/>
      <c r="S367" s="8"/>
      <c r="T367" s="12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5.75" customHeight="1">
      <c r="A368" s="5" t="s">
        <v>731</v>
      </c>
      <c r="B368" s="6" t="s">
        <v>732</v>
      </c>
      <c r="C368" s="6">
        <f t="shared" si="1"/>
        <v>5360</v>
      </c>
      <c r="D368" s="6">
        <f t="shared" si="40"/>
        <v>174</v>
      </c>
      <c r="E368" s="7">
        <v>0.0</v>
      </c>
      <c r="F368" s="8"/>
      <c r="G368" s="6">
        <f t="shared" si="3"/>
        <v>5158</v>
      </c>
      <c r="H368" s="6">
        <f t="shared" si="4"/>
        <v>18529</v>
      </c>
      <c r="I368" s="6">
        <f t="shared" si="5"/>
        <v>25011</v>
      </c>
      <c r="J368" s="6">
        <f t="shared" si="6"/>
        <v>62353</v>
      </c>
      <c r="K368" s="9"/>
      <c r="L368" s="9"/>
      <c r="M368" s="9"/>
      <c r="N368" s="9">
        <f t="shared" si="7"/>
        <v>11.63302239</v>
      </c>
      <c r="O368" s="10">
        <f t="shared" si="8"/>
        <v>31.17487398</v>
      </c>
      <c r="P368" s="9">
        <v>30.0</v>
      </c>
      <c r="Q368" s="11" t="str">
        <f t="shared" si="9"/>
        <v>cobertura correcta</v>
      </c>
      <c r="R368" s="12"/>
      <c r="S368" s="8"/>
      <c r="T368" s="12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5.75" customHeight="1">
      <c r="A369" s="5" t="s">
        <v>733</v>
      </c>
      <c r="B369" s="6" t="s">
        <v>734</v>
      </c>
      <c r="C369" s="6">
        <f t="shared" si="1"/>
        <v>7371</v>
      </c>
      <c r="D369" s="6">
        <f t="shared" si="40"/>
        <v>156</v>
      </c>
      <c r="E369" s="7">
        <v>0.0</v>
      </c>
      <c r="F369" s="8"/>
      <c r="G369" s="6">
        <f t="shared" si="3"/>
        <v>3618</v>
      </c>
      <c r="H369" s="6">
        <f t="shared" si="4"/>
        <v>11966</v>
      </c>
      <c r="I369" s="6">
        <f t="shared" si="5"/>
        <v>26323</v>
      </c>
      <c r="J369" s="6">
        <f t="shared" si="6"/>
        <v>60386</v>
      </c>
      <c r="K369" s="9"/>
      <c r="L369" s="9"/>
      <c r="M369" s="9"/>
      <c r="N369" s="9">
        <f t="shared" si="7"/>
        <v>8.192375526</v>
      </c>
      <c r="O369" s="10">
        <f t="shared" si="8"/>
        <v>61.11940299</v>
      </c>
      <c r="P369" s="9">
        <v>30.0</v>
      </c>
      <c r="Q369" s="11" t="str">
        <f t="shared" si="9"/>
        <v>cobertura correcta</v>
      </c>
      <c r="R369" s="12"/>
      <c r="S369" s="8"/>
      <c r="T369" s="12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5.75" customHeight="1">
      <c r="A370" s="5" t="s">
        <v>735</v>
      </c>
      <c r="B370" s="6" t="s">
        <v>736</v>
      </c>
      <c r="C370" s="6">
        <f t="shared" si="1"/>
        <v>5137</v>
      </c>
      <c r="D370" s="7">
        <v>0.0</v>
      </c>
      <c r="E370" s="7">
        <v>0.0</v>
      </c>
      <c r="F370" s="8"/>
      <c r="G370" s="6">
        <f t="shared" si="3"/>
        <v>1523</v>
      </c>
      <c r="H370" s="6">
        <f t="shared" si="4"/>
        <v>15360</v>
      </c>
      <c r="I370" s="6">
        <f t="shared" si="5"/>
        <v>21301</v>
      </c>
      <c r="J370" s="6">
        <f t="shared" si="6"/>
        <v>97485</v>
      </c>
      <c r="K370" s="9"/>
      <c r="L370" s="9"/>
      <c r="M370" s="9"/>
      <c r="N370" s="9">
        <f t="shared" si="7"/>
        <v>18.97702939</v>
      </c>
      <c r="O370" s="10">
        <f t="shared" si="8"/>
        <v>101.1884439</v>
      </c>
      <c r="P370" s="9">
        <v>30.0</v>
      </c>
      <c r="Q370" s="11" t="str">
        <f t="shared" si="9"/>
        <v>cobertura correcta</v>
      </c>
      <c r="R370" s="12"/>
      <c r="S370" s="8"/>
      <c r="T370" s="12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5.75" customHeight="1">
      <c r="A371" s="5" t="s">
        <v>737</v>
      </c>
      <c r="B371" s="6" t="s">
        <v>738</v>
      </c>
      <c r="C371" s="6">
        <f t="shared" si="1"/>
        <v>3115</v>
      </c>
      <c r="D371" s="6">
        <f>RANDBETWEEN(0, 200)</f>
        <v>19</v>
      </c>
      <c r="E371" s="7">
        <v>0.0</v>
      </c>
      <c r="F371" s="8"/>
      <c r="G371" s="6">
        <f t="shared" si="3"/>
        <v>3729</v>
      </c>
      <c r="H371" s="6">
        <f t="shared" si="4"/>
        <v>12487</v>
      </c>
      <c r="I371" s="6">
        <f t="shared" si="5"/>
        <v>23210</v>
      </c>
      <c r="J371" s="6">
        <f t="shared" si="6"/>
        <v>85656</v>
      </c>
      <c r="K371" s="9"/>
      <c r="L371" s="9"/>
      <c r="M371" s="9"/>
      <c r="N371" s="9">
        <f t="shared" si="7"/>
        <v>27.49791332</v>
      </c>
      <c r="O371" s="10">
        <f t="shared" si="8"/>
        <v>25.06033789</v>
      </c>
      <c r="P371" s="9">
        <v>30.0</v>
      </c>
      <c r="Q371" s="11" t="str">
        <f t="shared" si="9"/>
        <v>¡Compra YA!</v>
      </c>
      <c r="R371" s="12"/>
      <c r="S371" s="8"/>
      <c r="T371" s="12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5.75" customHeight="1">
      <c r="A372" s="5" t="s">
        <v>739</v>
      </c>
      <c r="B372" s="6" t="s">
        <v>740</v>
      </c>
      <c r="C372" s="6">
        <f t="shared" si="1"/>
        <v>2492</v>
      </c>
      <c r="D372" s="7">
        <v>0.0</v>
      </c>
      <c r="E372" s="7">
        <v>0.0</v>
      </c>
      <c r="F372" s="8"/>
      <c r="G372" s="6">
        <f t="shared" si="3"/>
        <v>5632</v>
      </c>
      <c r="H372" s="6">
        <f t="shared" si="4"/>
        <v>15832</v>
      </c>
      <c r="I372" s="6">
        <f t="shared" si="5"/>
        <v>28571</v>
      </c>
      <c r="J372" s="6">
        <f t="shared" si="6"/>
        <v>97371</v>
      </c>
      <c r="K372" s="9"/>
      <c r="L372" s="9"/>
      <c r="M372" s="9"/>
      <c r="N372" s="9">
        <f t="shared" si="7"/>
        <v>39.07343499</v>
      </c>
      <c r="O372" s="10">
        <f t="shared" si="8"/>
        <v>13.27414773</v>
      </c>
      <c r="P372" s="9">
        <v>30.0</v>
      </c>
      <c r="Q372" s="11" t="str">
        <f t="shared" si="9"/>
        <v>¡Compra YA!</v>
      </c>
      <c r="R372" s="12"/>
      <c r="S372" s="8"/>
      <c r="T372" s="12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5.75" customHeight="1">
      <c r="A373" s="5" t="s">
        <v>741</v>
      </c>
      <c r="B373" s="6" t="s">
        <v>742</v>
      </c>
      <c r="C373" s="6">
        <f t="shared" si="1"/>
        <v>1892</v>
      </c>
      <c r="D373" s="6">
        <f t="shared" ref="D373:D383" si="41">RANDBETWEEN(0, 200)</f>
        <v>120</v>
      </c>
      <c r="E373" s="7">
        <v>0.0</v>
      </c>
      <c r="F373" s="8"/>
      <c r="G373" s="6">
        <f t="shared" si="3"/>
        <v>7946</v>
      </c>
      <c r="H373" s="6">
        <f t="shared" si="4"/>
        <v>11589</v>
      </c>
      <c r="I373" s="6">
        <f t="shared" si="5"/>
        <v>21388</v>
      </c>
      <c r="J373" s="6">
        <f t="shared" si="6"/>
        <v>88181</v>
      </c>
      <c r="K373" s="9"/>
      <c r="L373" s="9"/>
      <c r="M373" s="9"/>
      <c r="N373" s="9">
        <f t="shared" si="7"/>
        <v>46.60729387</v>
      </c>
      <c r="O373" s="10">
        <f t="shared" si="8"/>
        <v>7.143216713</v>
      </c>
      <c r="P373" s="9">
        <v>30.0</v>
      </c>
      <c r="Q373" s="11" t="str">
        <f t="shared" si="9"/>
        <v>¡Compra YA!</v>
      </c>
      <c r="R373" s="12"/>
      <c r="S373" s="8"/>
      <c r="T373" s="12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5.75" customHeight="1">
      <c r="A374" s="5" t="s">
        <v>743</v>
      </c>
      <c r="B374" s="6" t="s">
        <v>744</v>
      </c>
      <c r="C374" s="6">
        <f t="shared" si="1"/>
        <v>3971</v>
      </c>
      <c r="D374" s="6">
        <f t="shared" si="41"/>
        <v>89</v>
      </c>
      <c r="E374" s="7">
        <v>0.0</v>
      </c>
      <c r="F374" s="8"/>
      <c r="G374" s="6">
        <f t="shared" si="3"/>
        <v>7816</v>
      </c>
      <c r="H374" s="6">
        <f t="shared" si="4"/>
        <v>10591</v>
      </c>
      <c r="I374" s="6">
        <f t="shared" si="5"/>
        <v>23356</v>
      </c>
      <c r="J374" s="6">
        <f t="shared" si="6"/>
        <v>40652</v>
      </c>
      <c r="K374" s="9"/>
      <c r="L374" s="9"/>
      <c r="M374" s="9"/>
      <c r="N374" s="9">
        <f t="shared" si="7"/>
        <v>10.23721984</v>
      </c>
      <c r="O374" s="10">
        <f t="shared" si="8"/>
        <v>15.24181167</v>
      </c>
      <c r="P374" s="9">
        <v>30.0</v>
      </c>
      <c r="Q374" s="11" t="str">
        <f t="shared" si="9"/>
        <v>¡Compra YA!</v>
      </c>
      <c r="R374" s="12"/>
      <c r="S374" s="8"/>
      <c r="T374" s="12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5.75" customHeight="1">
      <c r="A375" s="5" t="s">
        <v>745</v>
      </c>
      <c r="B375" s="6" t="s">
        <v>746</v>
      </c>
      <c r="C375" s="6">
        <f t="shared" si="1"/>
        <v>1698</v>
      </c>
      <c r="D375" s="6">
        <f t="shared" si="41"/>
        <v>23</v>
      </c>
      <c r="E375" s="7">
        <v>0.0</v>
      </c>
      <c r="F375" s="8"/>
      <c r="G375" s="6">
        <f t="shared" si="3"/>
        <v>2701</v>
      </c>
      <c r="H375" s="6">
        <f t="shared" si="4"/>
        <v>17599</v>
      </c>
      <c r="I375" s="6">
        <f t="shared" si="5"/>
        <v>26492</v>
      </c>
      <c r="J375" s="6">
        <f t="shared" si="6"/>
        <v>57765</v>
      </c>
      <c r="K375" s="9"/>
      <c r="L375" s="9"/>
      <c r="M375" s="9"/>
      <c r="N375" s="9">
        <f t="shared" si="7"/>
        <v>34.01943463</v>
      </c>
      <c r="O375" s="10">
        <f t="shared" si="8"/>
        <v>18.8596816</v>
      </c>
      <c r="P375" s="9">
        <v>30.0</v>
      </c>
      <c r="Q375" s="11" t="str">
        <f t="shared" si="9"/>
        <v>¡Compra YA!</v>
      </c>
      <c r="R375" s="12"/>
      <c r="S375" s="8"/>
      <c r="T375" s="12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5.75" customHeight="1">
      <c r="A376" s="5" t="s">
        <v>747</v>
      </c>
      <c r="B376" s="6" t="s">
        <v>748</v>
      </c>
      <c r="C376" s="6">
        <f t="shared" si="1"/>
        <v>7419</v>
      </c>
      <c r="D376" s="6">
        <f t="shared" si="41"/>
        <v>179</v>
      </c>
      <c r="E376" s="7">
        <v>0.0</v>
      </c>
      <c r="F376" s="8"/>
      <c r="G376" s="6">
        <f t="shared" si="3"/>
        <v>4881</v>
      </c>
      <c r="H376" s="6">
        <f t="shared" si="4"/>
        <v>10151</v>
      </c>
      <c r="I376" s="6">
        <f t="shared" si="5"/>
        <v>26213</v>
      </c>
      <c r="J376" s="6">
        <f t="shared" si="6"/>
        <v>54066</v>
      </c>
      <c r="K376" s="9"/>
      <c r="L376" s="9"/>
      <c r="M376" s="9"/>
      <c r="N376" s="9">
        <f t="shared" si="7"/>
        <v>7.287505055</v>
      </c>
      <c r="O376" s="10">
        <f t="shared" si="8"/>
        <v>45.59926245</v>
      </c>
      <c r="P376" s="9">
        <v>30.0</v>
      </c>
      <c r="Q376" s="11" t="str">
        <f t="shared" si="9"/>
        <v>cobertura correcta</v>
      </c>
      <c r="R376" s="12"/>
      <c r="S376" s="8"/>
      <c r="T376" s="12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5.75" customHeight="1">
      <c r="A377" s="5" t="s">
        <v>749</v>
      </c>
      <c r="B377" s="6" t="s">
        <v>750</v>
      </c>
      <c r="C377" s="6">
        <f t="shared" si="1"/>
        <v>3687</v>
      </c>
      <c r="D377" s="6">
        <f t="shared" si="41"/>
        <v>119</v>
      </c>
      <c r="E377" s="7">
        <v>0.0</v>
      </c>
      <c r="F377" s="8"/>
      <c r="G377" s="6">
        <f t="shared" si="3"/>
        <v>5788</v>
      </c>
      <c r="H377" s="6">
        <f t="shared" si="4"/>
        <v>18909</v>
      </c>
      <c r="I377" s="6">
        <f t="shared" si="5"/>
        <v>21416</v>
      </c>
      <c r="J377" s="6">
        <f t="shared" si="6"/>
        <v>43476</v>
      </c>
      <c r="K377" s="9"/>
      <c r="L377" s="9"/>
      <c r="M377" s="9"/>
      <c r="N377" s="9">
        <f t="shared" si="7"/>
        <v>11.79170057</v>
      </c>
      <c r="O377" s="10">
        <f t="shared" si="8"/>
        <v>19.11022806</v>
      </c>
      <c r="P377" s="9">
        <v>30.0</v>
      </c>
      <c r="Q377" s="11" t="str">
        <f t="shared" si="9"/>
        <v>¡Compra YA!</v>
      </c>
      <c r="R377" s="12"/>
      <c r="S377" s="8"/>
      <c r="T377" s="12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5.75" customHeight="1">
      <c r="A378" s="5" t="s">
        <v>751</v>
      </c>
      <c r="B378" s="6" t="s">
        <v>752</v>
      </c>
      <c r="C378" s="6">
        <f t="shared" si="1"/>
        <v>5920</v>
      </c>
      <c r="D378" s="6">
        <f t="shared" si="41"/>
        <v>167</v>
      </c>
      <c r="E378" s="7">
        <v>0.0</v>
      </c>
      <c r="F378" s="8"/>
      <c r="G378" s="6">
        <f t="shared" si="3"/>
        <v>4973</v>
      </c>
      <c r="H378" s="6">
        <f t="shared" si="4"/>
        <v>16227</v>
      </c>
      <c r="I378" s="6">
        <f t="shared" si="5"/>
        <v>24814</v>
      </c>
      <c r="J378" s="6">
        <f t="shared" si="6"/>
        <v>81789</v>
      </c>
      <c r="K378" s="9"/>
      <c r="L378" s="9"/>
      <c r="M378" s="9"/>
      <c r="N378" s="9">
        <f t="shared" si="7"/>
        <v>13.81570946</v>
      </c>
      <c r="O378" s="10">
        <f t="shared" si="8"/>
        <v>35.71284939</v>
      </c>
      <c r="P378" s="9">
        <v>30.0</v>
      </c>
      <c r="Q378" s="11" t="str">
        <f t="shared" si="9"/>
        <v>cobertura correcta</v>
      </c>
      <c r="R378" s="12"/>
      <c r="S378" s="8"/>
      <c r="T378" s="12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5.75" customHeight="1">
      <c r="A379" s="5" t="s">
        <v>753</v>
      </c>
      <c r="B379" s="6" t="s">
        <v>754</v>
      </c>
      <c r="C379" s="6">
        <f t="shared" si="1"/>
        <v>8700</v>
      </c>
      <c r="D379" s="6">
        <f t="shared" si="41"/>
        <v>59</v>
      </c>
      <c r="E379" s="7">
        <v>0.0</v>
      </c>
      <c r="F379" s="8"/>
      <c r="G379" s="6">
        <f t="shared" si="3"/>
        <v>5938</v>
      </c>
      <c r="H379" s="6">
        <f t="shared" si="4"/>
        <v>9591</v>
      </c>
      <c r="I379" s="6">
        <f t="shared" si="5"/>
        <v>23662</v>
      </c>
      <c r="J379" s="6">
        <f t="shared" si="6"/>
        <v>40979</v>
      </c>
      <c r="K379" s="9"/>
      <c r="L379" s="9"/>
      <c r="M379" s="9"/>
      <c r="N379" s="9">
        <f t="shared" si="7"/>
        <v>4.710229885</v>
      </c>
      <c r="O379" s="10">
        <f t="shared" si="8"/>
        <v>43.95419333</v>
      </c>
      <c r="P379" s="9">
        <v>30.0</v>
      </c>
      <c r="Q379" s="11" t="str">
        <f t="shared" si="9"/>
        <v>cobertura correcta</v>
      </c>
      <c r="R379" s="12"/>
      <c r="S379" s="8"/>
      <c r="T379" s="12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5.75" customHeight="1">
      <c r="A380" s="5" t="s">
        <v>755</v>
      </c>
      <c r="B380" s="6" t="s">
        <v>756</v>
      </c>
      <c r="C380" s="6">
        <f t="shared" si="1"/>
        <v>8314</v>
      </c>
      <c r="D380" s="6">
        <f t="shared" si="41"/>
        <v>55</v>
      </c>
      <c r="E380" s="7">
        <v>0.0</v>
      </c>
      <c r="F380" s="8"/>
      <c r="G380" s="6">
        <f t="shared" si="3"/>
        <v>5461</v>
      </c>
      <c r="H380" s="6">
        <f t="shared" si="4"/>
        <v>14073</v>
      </c>
      <c r="I380" s="6">
        <f t="shared" si="5"/>
        <v>22212</v>
      </c>
      <c r="J380" s="6">
        <f t="shared" si="6"/>
        <v>56058</v>
      </c>
      <c r="K380" s="9"/>
      <c r="L380" s="9"/>
      <c r="M380" s="9"/>
      <c r="N380" s="9">
        <f t="shared" si="7"/>
        <v>6.742602839</v>
      </c>
      <c r="O380" s="10">
        <f t="shared" si="8"/>
        <v>45.67295367</v>
      </c>
      <c r="P380" s="9">
        <v>30.0</v>
      </c>
      <c r="Q380" s="11" t="str">
        <f t="shared" si="9"/>
        <v>cobertura correcta</v>
      </c>
      <c r="R380" s="12"/>
      <c r="S380" s="8"/>
      <c r="T380" s="12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5.75" customHeight="1">
      <c r="A381" s="5" t="s">
        <v>757</v>
      </c>
      <c r="B381" s="6" t="s">
        <v>758</v>
      </c>
      <c r="C381" s="6">
        <f t="shared" si="1"/>
        <v>8875</v>
      </c>
      <c r="D381" s="6">
        <f t="shared" si="41"/>
        <v>94</v>
      </c>
      <c r="E381" s="7">
        <v>0.0</v>
      </c>
      <c r="F381" s="8"/>
      <c r="G381" s="6">
        <f t="shared" si="3"/>
        <v>2470</v>
      </c>
      <c r="H381" s="6">
        <f t="shared" si="4"/>
        <v>16790</v>
      </c>
      <c r="I381" s="6">
        <f t="shared" si="5"/>
        <v>22146</v>
      </c>
      <c r="J381" s="6">
        <f t="shared" si="6"/>
        <v>40036</v>
      </c>
      <c r="K381" s="9"/>
      <c r="L381" s="9"/>
      <c r="M381" s="9"/>
      <c r="N381" s="9">
        <f t="shared" si="7"/>
        <v>4.511098592</v>
      </c>
      <c r="O381" s="10">
        <f t="shared" si="8"/>
        <v>107.7935223</v>
      </c>
      <c r="P381" s="9">
        <v>30.0</v>
      </c>
      <c r="Q381" s="11" t="str">
        <f t="shared" si="9"/>
        <v>cobertura correcta</v>
      </c>
      <c r="R381" s="12"/>
      <c r="S381" s="8"/>
      <c r="T381" s="12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5" t="s">
        <v>759</v>
      </c>
      <c r="B382" s="6" t="s">
        <v>760</v>
      </c>
      <c r="C382" s="6">
        <f t="shared" si="1"/>
        <v>5015</v>
      </c>
      <c r="D382" s="6">
        <f t="shared" si="41"/>
        <v>190</v>
      </c>
      <c r="E382" s="7">
        <v>0.0</v>
      </c>
      <c r="F382" s="8"/>
      <c r="G382" s="6">
        <f t="shared" si="3"/>
        <v>7501</v>
      </c>
      <c r="H382" s="6">
        <f t="shared" si="4"/>
        <v>18206</v>
      </c>
      <c r="I382" s="6">
        <f t="shared" si="5"/>
        <v>27970</v>
      </c>
      <c r="J382" s="6">
        <f t="shared" si="6"/>
        <v>84364</v>
      </c>
      <c r="K382" s="9"/>
      <c r="L382" s="9"/>
      <c r="M382" s="9"/>
      <c r="N382" s="9">
        <f t="shared" si="7"/>
        <v>16.822333</v>
      </c>
      <c r="O382" s="10">
        <f t="shared" si="8"/>
        <v>20.05732569</v>
      </c>
      <c r="P382" s="9">
        <v>30.0</v>
      </c>
      <c r="Q382" s="11" t="str">
        <f t="shared" si="9"/>
        <v>¡Compra YA!</v>
      </c>
      <c r="R382" s="12"/>
      <c r="S382" s="8"/>
      <c r="T382" s="12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5" t="s">
        <v>761</v>
      </c>
      <c r="B383" s="6" t="s">
        <v>762</v>
      </c>
      <c r="C383" s="6">
        <f t="shared" si="1"/>
        <v>4014</v>
      </c>
      <c r="D383" s="6">
        <f t="shared" si="41"/>
        <v>5</v>
      </c>
      <c r="E383" s="7">
        <v>0.0</v>
      </c>
      <c r="F383" s="8"/>
      <c r="G383" s="6">
        <f t="shared" si="3"/>
        <v>5863</v>
      </c>
      <c r="H383" s="6">
        <f t="shared" si="4"/>
        <v>15497</v>
      </c>
      <c r="I383" s="6">
        <f t="shared" si="5"/>
        <v>27052</v>
      </c>
      <c r="J383" s="6">
        <f t="shared" si="6"/>
        <v>74424</v>
      </c>
      <c r="K383" s="9"/>
      <c r="L383" s="9"/>
      <c r="M383" s="9"/>
      <c r="N383" s="9">
        <f t="shared" si="7"/>
        <v>18.54110613</v>
      </c>
      <c r="O383" s="10">
        <f t="shared" si="8"/>
        <v>20.53897322</v>
      </c>
      <c r="P383" s="9">
        <v>30.0</v>
      </c>
      <c r="Q383" s="11" t="str">
        <f t="shared" si="9"/>
        <v>¡Compra YA!</v>
      </c>
      <c r="R383" s="12"/>
      <c r="S383" s="8"/>
      <c r="T383" s="12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5" t="s">
        <v>763</v>
      </c>
      <c r="B384" s="6" t="s">
        <v>764</v>
      </c>
      <c r="C384" s="6">
        <f t="shared" si="1"/>
        <v>3170</v>
      </c>
      <c r="D384" s="7">
        <v>0.0</v>
      </c>
      <c r="E384" s="7">
        <v>0.0</v>
      </c>
      <c r="F384" s="8"/>
      <c r="G384" s="6">
        <f t="shared" si="3"/>
        <v>1581</v>
      </c>
      <c r="H384" s="6">
        <f t="shared" si="4"/>
        <v>13605</v>
      </c>
      <c r="I384" s="6">
        <f t="shared" si="5"/>
        <v>19365</v>
      </c>
      <c r="J384" s="6">
        <f t="shared" si="6"/>
        <v>30319</v>
      </c>
      <c r="K384" s="9"/>
      <c r="L384" s="9"/>
      <c r="M384" s="9"/>
      <c r="N384" s="9">
        <f t="shared" si="7"/>
        <v>9.564353312</v>
      </c>
      <c r="O384" s="10">
        <f t="shared" si="8"/>
        <v>60.15180266</v>
      </c>
      <c r="P384" s="9">
        <v>30.0</v>
      </c>
      <c r="Q384" s="11" t="str">
        <f t="shared" si="9"/>
        <v>cobertura correcta</v>
      </c>
      <c r="R384" s="12"/>
      <c r="S384" s="8"/>
      <c r="T384" s="12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5" t="s">
        <v>765</v>
      </c>
      <c r="B385" s="6" t="s">
        <v>766</v>
      </c>
      <c r="C385" s="6">
        <f t="shared" si="1"/>
        <v>7345</v>
      </c>
      <c r="D385" s="6">
        <f>RANDBETWEEN(0, 200)</f>
        <v>67</v>
      </c>
      <c r="E385" s="7">
        <v>0.0</v>
      </c>
      <c r="F385" s="8"/>
      <c r="G385" s="6">
        <f t="shared" si="3"/>
        <v>1296</v>
      </c>
      <c r="H385" s="6">
        <f t="shared" si="4"/>
        <v>11086</v>
      </c>
      <c r="I385" s="6">
        <f t="shared" si="5"/>
        <v>23372</v>
      </c>
      <c r="J385" s="6">
        <f t="shared" si="6"/>
        <v>65465</v>
      </c>
      <c r="K385" s="9"/>
      <c r="L385" s="9"/>
      <c r="M385" s="9"/>
      <c r="N385" s="9">
        <f t="shared" si="7"/>
        <v>8.912865895</v>
      </c>
      <c r="O385" s="10">
        <f t="shared" si="8"/>
        <v>170.0231481</v>
      </c>
      <c r="P385" s="9">
        <v>30.0</v>
      </c>
      <c r="Q385" s="11" t="str">
        <f t="shared" si="9"/>
        <v>cobertura correcta</v>
      </c>
      <c r="R385" s="12"/>
      <c r="S385" s="8"/>
      <c r="T385" s="12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5" t="s">
        <v>767</v>
      </c>
      <c r="B386" s="6" t="s">
        <v>768</v>
      </c>
      <c r="C386" s="6">
        <f t="shared" si="1"/>
        <v>5988</v>
      </c>
      <c r="D386" s="7">
        <v>0.0</v>
      </c>
      <c r="E386" s="7">
        <v>0.0</v>
      </c>
      <c r="F386" s="8"/>
      <c r="G386" s="6">
        <f t="shared" si="3"/>
        <v>8035</v>
      </c>
      <c r="H386" s="6">
        <f t="shared" si="4"/>
        <v>12111</v>
      </c>
      <c r="I386" s="6">
        <f t="shared" si="5"/>
        <v>21123</v>
      </c>
      <c r="J386" s="6">
        <f t="shared" si="6"/>
        <v>34543</v>
      </c>
      <c r="K386" s="9"/>
      <c r="L386" s="9"/>
      <c r="M386" s="9"/>
      <c r="N386" s="9">
        <f t="shared" si="7"/>
        <v>5.768704075</v>
      </c>
      <c r="O386" s="10">
        <f t="shared" si="8"/>
        <v>22.35718731</v>
      </c>
      <c r="P386" s="9">
        <v>30.0</v>
      </c>
      <c r="Q386" s="11" t="str">
        <f t="shared" si="9"/>
        <v>¡Compra YA!</v>
      </c>
      <c r="R386" s="12"/>
      <c r="S386" s="8"/>
      <c r="T386" s="12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5" t="s">
        <v>769</v>
      </c>
      <c r="B387" s="6" t="s">
        <v>770</v>
      </c>
      <c r="C387" s="6">
        <f t="shared" si="1"/>
        <v>4103</v>
      </c>
      <c r="D387" s="6">
        <f t="shared" ref="D387:D683" si="42">RANDBETWEEN(0, 200)</f>
        <v>87</v>
      </c>
      <c r="E387" s="7">
        <v>0.0</v>
      </c>
      <c r="F387" s="8"/>
      <c r="G387" s="6">
        <f t="shared" si="3"/>
        <v>5564</v>
      </c>
      <c r="H387" s="6">
        <f t="shared" si="4"/>
        <v>11134</v>
      </c>
      <c r="I387" s="6">
        <f t="shared" si="5"/>
        <v>27541</v>
      </c>
      <c r="J387" s="6">
        <f t="shared" si="6"/>
        <v>47064</v>
      </c>
      <c r="K387" s="9"/>
      <c r="L387" s="9"/>
      <c r="M387" s="9"/>
      <c r="N387" s="9">
        <f t="shared" si="7"/>
        <v>11.47063125</v>
      </c>
      <c r="O387" s="10">
        <f t="shared" si="8"/>
        <v>22.12257369</v>
      </c>
      <c r="P387" s="9">
        <v>30.0</v>
      </c>
      <c r="Q387" s="11" t="str">
        <f t="shared" si="9"/>
        <v>¡Compra YA!</v>
      </c>
      <c r="R387" s="12"/>
      <c r="S387" s="8"/>
      <c r="T387" s="12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5.75" customHeight="1">
      <c r="A388" s="5" t="s">
        <v>771</v>
      </c>
      <c r="B388" s="6" t="s">
        <v>772</v>
      </c>
      <c r="C388" s="6">
        <f t="shared" si="1"/>
        <v>2447</v>
      </c>
      <c r="D388" s="6">
        <f t="shared" si="42"/>
        <v>102</v>
      </c>
      <c r="E388" s="7">
        <v>0.0</v>
      </c>
      <c r="F388" s="8"/>
      <c r="G388" s="6">
        <f t="shared" si="3"/>
        <v>1531</v>
      </c>
      <c r="H388" s="6">
        <f t="shared" si="4"/>
        <v>12954</v>
      </c>
      <c r="I388" s="6">
        <f t="shared" si="5"/>
        <v>25572</v>
      </c>
      <c r="J388" s="6">
        <f t="shared" si="6"/>
        <v>90642</v>
      </c>
      <c r="K388" s="9"/>
      <c r="L388" s="9"/>
      <c r="M388" s="9"/>
      <c r="N388" s="9">
        <f t="shared" si="7"/>
        <v>37.04209236</v>
      </c>
      <c r="O388" s="10">
        <f t="shared" si="8"/>
        <v>47.94905291</v>
      </c>
      <c r="P388" s="9">
        <v>30.0</v>
      </c>
      <c r="Q388" s="11" t="str">
        <f t="shared" si="9"/>
        <v>cobertura correcta</v>
      </c>
      <c r="R388" s="12"/>
      <c r="S388" s="8"/>
      <c r="T388" s="12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5" t="s">
        <v>773</v>
      </c>
      <c r="B389" s="6" t="s">
        <v>774</v>
      </c>
      <c r="C389" s="6">
        <f t="shared" si="1"/>
        <v>1026</v>
      </c>
      <c r="D389" s="6">
        <f t="shared" si="42"/>
        <v>6</v>
      </c>
      <c r="E389" s="7">
        <v>0.0</v>
      </c>
      <c r="F389" s="8"/>
      <c r="G389" s="6">
        <f t="shared" si="3"/>
        <v>4044</v>
      </c>
      <c r="H389" s="6">
        <f t="shared" si="4"/>
        <v>15847</v>
      </c>
      <c r="I389" s="6">
        <f t="shared" si="5"/>
        <v>24379</v>
      </c>
      <c r="J389" s="6">
        <f t="shared" si="6"/>
        <v>84932</v>
      </c>
      <c r="K389" s="9"/>
      <c r="L389" s="9"/>
      <c r="M389" s="9"/>
      <c r="N389" s="9">
        <f t="shared" si="7"/>
        <v>82.7797271</v>
      </c>
      <c r="O389" s="10">
        <f t="shared" si="8"/>
        <v>7.611275964</v>
      </c>
      <c r="P389" s="9">
        <v>30.0</v>
      </c>
      <c r="Q389" s="11" t="str">
        <f t="shared" si="9"/>
        <v>¡Compra YA!</v>
      </c>
      <c r="R389" s="12"/>
      <c r="S389" s="8"/>
      <c r="T389" s="12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5" t="s">
        <v>775</v>
      </c>
      <c r="B390" s="6"/>
      <c r="C390" s="6">
        <f t="shared" si="1"/>
        <v>3015</v>
      </c>
      <c r="D390" s="6">
        <f t="shared" si="42"/>
        <v>85</v>
      </c>
      <c r="E390" s="7">
        <v>0.0</v>
      </c>
      <c r="F390" s="8"/>
      <c r="G390" s="6">
        <f t="shared" si="3"/>
        <v>8941</v>
      </c>
      <c r="H390" s="6">
        <f t="shared" si="4"/>
        <v>12221</v>
      </c>
      <c r="I390" s="6">
        <f t="shared" si="5"/>
        <v>28701</v>
      </c>
      <c r="J390" s="6">
        <f t="shared" si="6"/>
        <v>35576</v>
      </c>
      <c r="K390" s="9"/>
      <c r="L390" s="9"/>
      <c r="M390" s="9"/>
      <c r="N390" s="9">
        <f t="shared" si="7"/>
        <v>11.79966833</v>
      </c>
      <c r="O390" s="10">
        <f t="shared" si="8"/>
        <v>10.11631809</v>
      </c>
      <c r="P390" s="9">
        <v>30.0</v>
      </c>
      <c r="Q390" s="11" t="str">
        <f t="shared" si="9"/>
        <v>¡Compra YA!</v>
      </c>
      <c r="R390" s="12"/>
      <c r="S390" s="8"/>
      <c r="T390" s="12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5" t="s">
        <v>776</v>
      </c>
      <c r="B391" s="6"/>
      <c r="C391" s="6">
        <f t="shared" si="1"/>
        <v>4879</v>
      </c>
      <c r="D391" s="6">
        <f t="shared" si="42"/>
        <v>60</v>
      </c>
      <c r="E391" s="7">
        <v>0.0</v>
      </c>
      <c r="F391" s="8"/>
      <c r="G391" s="6">
        <f t="shared" si="3"/>
        <v>4333</v>
      </c>
      <c r="H391" s="6">
        <f t="shared" si="4"/>
        <v>13278</v>
      </c>
      <c r="I391" s="6">
        <f t="shared" si="5"/>
        <v>24497</v>
      </c>
      <c r="J391" s="6">
        <f t="shared" si="6"/>
        <v>38086</v>
      </c>
      <c r="K391" s="9"/>
      <c r="L391" s="9"/>
      <c r="M391" s="9"/>
      <c r="N391" s="9">
        <f t="shared" si="7"/>
        <v>7.806107809</v>
      </c>
      <c r="O391" s="10">
        <f t="shared" si="8"/>
        <v>33.78029079</v>
      </c>
      <c r="P391" s="9">
        <v>30.0</v>
      </c>
      <c r="Q391" s="11" t="str">
        <f t="shared" si="9"/>
        <v>cobertura correcta</v>
      </c>
      <c r="R391" s="12"/>
      <c r="S391" s="8"/>
      <c r="T391" s="12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5" t="s">
        <v>777</v>
      </c>
      <c r="B392" s="6"/>
      <c r="C392" s="6">
        <f t="shared" si="1"/>
        <v>8593</v>
      </c>
      <c r="D392" s="6">
        <f t="shared" si="42"/>
        <v>24</v>
      </c>
      <c r="E392" s="7">
        <v>0.0</v>
      </c>
      <c r="F392" s="8"/>
      <c r="G392" s="6">
        <f t="shared" si="3"/>
        <v>3184</v>
      </c>
      <c r="H392" s="6">
        <f t="shared" si="4"/>
        <v>16322</v>
      </c>
      <c r="I392" s="6">
        <f t="shared" si="5"/>
        <v>28096</v>
      </c>
      <c r="J392" s="6">
        <f t="shared" si="6"/>
        <v>98977</v>
      </c>
      <c r="K392" s="9"/>
      <c r="L392" s="9"/>
      <c r="M392" s="9"/>
      <c r="N392" s="9">
        <f t="shared" si="7"/>
        <v>11.51832887</v>
      </c>
      <c r="O392" s="10">
        <f t="shared" si="8"/>
        <v>80.96419598</v>
      </c>
      <c r="P392" s="9">
        <v>30.0</v>
      </c>
      <c r="Q392" s="11" t="str">
        <f t="shared" si="9"/>
        <v>cobertura correcta</v>
      </c>
      <c r="R392" s="12"/>
      <c r="S392" s="8"/>
      <c r="T392" s="12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5" t="s">
        <v>778</v>
      </c>
      <c r="B393" s="6" t="s">
        <v>779</v>
      </c>
      <c r="C393" s="6">
        <f t="shared" si="1"/>
        <v>6882</v>
      </c>
      <c r="D393" s="6">
        <f t="shared" si="42"/>
        <v>141</v>
      </c>
      <c r="E393" s="7">
        <v>0.0</v>
      </c>
      <c r="F393" s="8"/>
      <c r="G393" s="6">
        <f t="shared" si="3"/>
        <v>6687</v>
      </c>
      <c r="H393" s="6">
        <f t="shared" si="4"/>
        <v>18142</v>
      </c>
      <c r="I393" s="6">
        <f t="shared" si="5"/>
        <v>26717</v>
      </c>
      <c r="J393" s="6">
        <f t="shared" si="6"/>
        <v>48114</v>
      </c>
      <c r="K393" s="9"/>
      <c r="L393" s="9"/>
      <c r="M393" s="9"/>
      <c r="N393" s="9">
        <f t="shared" si="7"/>
        <v>6.991281604</v>
      </c>
      <c r="O393" s="10">
        <f t="shared" si="8"/>
        <v>30.87483176</v>
      </c>
      <c r="P393" s="9">
        <v>30.0</v>
      </c>
      <c r="Q393" s="11" t="str">
        <f t="shared" si="9"/>
        <v>cobertura correcta</v>
      </c>
      <c r="R393" s="12"/>
      <c r="S393" s="8"/>
      <c r="T393" s="12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5" t="s">
        <v>780</v>
      </c>
      <c r="B394" s="6" t="s">
        <v>781</v>
      </c>
      <c r="C394" s="6">
        <f t="shared" si="1"/>
        <v>6553</v>
      </c>
      <c r="D394" s="6">
        <f t="shared" si="42"/>
        <v>161</v>
      </c>
      <c r="E394" s="7">
        <v>0.0</v>
      </c>
      <c r="F394" s="8"/>
      <c r="G394" s="6">
        <f t="shared" si="3"/>
        <v>3193</v>
      </c>
      <c r="H394" s="6">
        <f t="shared" si="4"/>
        <v>13117</v>
      </c>
      <c r="I394" s="6">
        <f t="shared" si="5"/>
        <v>25680</v>
      </c>
      <c r="J394" s="6">
        <f t="shared" si="6"/>
        <v>36444</v>
      </c>
      <c r="K394" s="9"/>
      <c r="L394" s="9"/>
      <c r="M394" s="9"/>
      <c r="N394" s="9">
        <f t="shared" si="7"/>
        <v>5.561422249</v>
      </c>
      <c r="O394" s="10">
        <f t="shared" si="8"/>
        <v>61.56905731</v>
      </c>
      <c r="P394" s="9">
        <v>30.0</v>
      </c>
      <c r="Q394" s="11" t="str">
        <f t="shared" si="9"/>
        <v>cobertura correcta</v>
      </c>
      <c r="R394" s="12"/>
      <c r="S394" s="8"/>
      <c r="T394" s="12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5.75" customHeight="1">
      <c r="A395" s="5" t="s">
        <v>782</v>
      </c>
      <c r="B395" s="6" t="s">
        <v>783</v>
      </c>
      <c r="C395" s="6">
        <f t="shared" si="1"/>
        <v>2105</v>
      </c>
      <c r="D395" s="6">
        <f t="shared" si="42"/>
        <v>151</v>
      </c>
      <c r="E395" s="7">
        <v>0.0</v>
      </c>
      <c r="F395" s="8"/>
      <c r="G395" s="6">
        <f t="shared" si="3"/>
        <v>1553</v>
      </c>
      <c r="H395" s="6">
        <f t="shared" si="4"/>
        <v>15412</v>
      </c>
      <c r="I395" s="6">
        <f t="shared" si="5"/>
        <v>26095</v>
      </c>
      <c r="J395" s="6">
        <f t="shared" si="6"/>
        <v>89302</v>
      </c>
      <c r="K395" s="9"/>
      <c r="L395" s="9"/>
      <c r="M395" s="9"/>
      <c r="N395" s="9">
        <f t="shared" si="7"/>
        <v>42.42375297</v>
      </c>
      <c r="O395" s="10">
        <f t="shared" si="8"/>
        <v>40.66323245</v>
      </c>
      <c r="P395" s="9">
        <v>30.0</v>
      </c>
      <c r="Q395" s="11" t="str">
        <f t="shared" si="9"/>
        <v>cobertura correcta</v>
      </c>
      <c r="R395" s="12"/>
      <c r="S395" s="8"/>
      <c r="T395" s="12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5" t="s">
        <v>784</v>
      </c>
      <c r="B396" s="6" t="s">
        <v>785</v>
      </c>
      <c r="C396" s="6">
        <f t="shared" si="1"/>
        <v>4770</v>
      </c>
      <c r="D396" s="6">
        <f t="shared" si="42"/>
        <v>24</v>
      </c>
      <c r="E396" s="7">
        <v>0.0</v>
      </c>
      <c r="F396" s="8"/>
      <c r="G396" s="6">
        <f t="shared" si="3"/>
        <v>6477</v>
      </c>
      <c r="H396" s="6">
        <f t="shared" si="4"/>
        <v>13380</v>
      </c>
      <c r="I396" s="6">
        <f t="shared" si="5"/>
        <v>25042</v>
      </c>
      <c r="J396" s="6">
        <f t="shared" si="6"/>
        <v>96922</v>
      </c>
      <c r="K396" s="9"/>
      <c r="L396" s="9"/>
      <c r="M396" s="9"/>
      <c r="N396" s="9">
        <f t="shared" si="7"/>
        <v>20.31907757</v>
      </c>
      <c r="O396" s="10">
        <f t="shared" si="8"/>
        <v>22.09356183</v>
      </c>
      <c r="P396" s="9">
        <v>30.0</v>
      </c>
      <c r="Q396" s="11" t="str">
        <f t="shared" si="9"/>
        <v>¡Compra YA!</v>
      </c>
      <c r="R396" s="12"/>
      <c r="S396" s="8"/>
      <c r="T396" s="12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5" t="s">
        <v>786</v>
      </c>
      <c r="B397" s="6" t="s">
        <v>787</v>
      </c>
      <c r="C397" s="6">
        <f t="shared" si="1"/>
        <v>5127</v>
      </c>
      <c r="D397" s="6">
        <f t="shared" si="42"/>
        <v>19</v>
      </c>
      <c r="E397" s="7">
        <v>0.0</v>
      </c>
      <c r="F397" s="8"/>
      <c r="G397" s="6">
        <f t="shared" si="3"/>
        <v>4449</v>
      </c>
      <c r="H397" s="6">
        <f t="shared" si="4"/>
        <v>15396</v>
      </c>
      <c r="I397" s="6">
        <f t="shared" si="5"/>
        <v>21219</v>
      </c>
      <c r="J397" s="6">
        <f t="shared" si="6"/>
        <v>73168</v>
      </c>
      <c r="K397" s="9"/>
      <c r="L397" s="9"/>
      <c r="M397" s="9"/>
      <c r="N397" s="9">
        <f t="shared" si="7"/>
        <v>14.27111371</v>
      </c>
      <c r="O397" s="10">
        <f t="shared" si="8"/>
        <v>34.57181389</v>
      </c>
      <c r="P397" s="9">
        <v>30.0</v>
      </c>
      <c r="Q397" s="11" t="str">
        <f t="shared" si="9"/>
        <v>cobertura correcta</v>
      </c>
      <c r="R397" s="12"/>
      <c r="S397" s="8"/>
      <c r="T397" s="12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5" t="s">
        <v>788</v>
      </c>
      <c r="B398" s="6" t="s">
        <v>789</v>
      </c>
      <c r="C398" s="6">
        <f t="shared" si="1"/>
        <v>6023</v>
      </c>
      <c r="D398" s="6">
        <f t="shared" si="42"/>
        <v>177</v>
      </c>
      <c r="E398" s="7">
        <v>0.0</v>
      </c>
      <c r="F398" s="8"/>
      <c r="G398" s="6">
        <f t="shared" si="3"/>
        <v>4780</v>
      </c>
      <c r="H398" s="6">
        <f t="shared" si="4"/>
        <v>17473</v>
      </c>
      <c r="I398" s="6">
        <f t="shared" si="5"/>
        <v>20827</v>
      </c>
      <c r="J398" s="6">
        <f t="shared" si="6"/>
        <v>56151</v>
      </c>
      <c r="K398" s="9"/>
      <c r="L398" s="9"/>
      <c r="M398" s="9"/>
      <c r="N398" s="9">
        <f t="shared" si="7"/>
        <v>9.322762743</v>
      </c>
      <c r="O398" s="10">
        <f t="shared" si="8"/>
        <v>37.80125523</v>
      </c>
      <c r="P398" s="9">
        <v>30.0</v>
      </c>
      <c r="Q398" s="11" t="str">
        <f t="shared" si="9"/>
        <v>cobertura correcta</v>
      </c>
      <c r="R398" s="12"/>
      <c r="S398" s="8"/>
      <c r="T398" s="12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5" t="s">
        <v>790</v>
      </c>
      <c r="B399" s="6" t="s">
        <v>791</v>
      </c>
      <c r="C399" s="6">
        <f t="shared" si="1"/>
        <v>7529</v>
      </c>
      <c r="D399" s="6">
        <f t="shared" si="42"/>
        <v>111</v>
      </c>
      <c r="E399" s="7">
        <v>0.0</v>
      </c>
      <c r="F399" s="8"/>
      <c r="G399" s="6">
        <f t="shared" si="3"/>
        <v>4421</v>
      </c>
      <c r="H399" s="6">
        <f t="shared" si="4"/>
        <v>11012</v>
      </c>
      <c r="I399" s="6">
        <f t="shared" si="5"/>
        <v>28768</v>
      </c>
      <c r="J399" s="6">
        <f t="shared" si="6"/>
        <v>98109</v>
      </c>
      <c r="K399" s="9"/>
      <c r="L399" s="9"/>
      <c r="M399" s="9"/>
      <c r="N399" s="9">
        <f t="shared" si="7"/>
        <v>13.03081419</v>
      </c>
      <c r="O399" s="10">
        <f t="shared" si="8"/>
        <v>51.09025107</v>
      </c>
      <c r="P399" s="9">
        <v>30.0</v>
      </c>
      <c r="Q399" s="11" t="str">
        <f t="shared" si="9"/>
        <v>cobertura correcta</v>
      </c>
      <c r="R399" s="12"/>
      <c r="S399" s="8"/>
      <c r="T399" s="12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5" t="s">
        <v>792</v>
      </c>
      <c r="B400" s="6" t="s">
        <v>793</v>
      </c>
      <c r="C400" s="6">
        <f t="shared" si="1"/>
        <v>1778</v>
      </c>
      <c r="D400" s="6">
        <f t="shared" si="42"/>
        <v>110</v>
      </c>
      <c r="E400" s="7">
        <v>0.0</v>
      </c>
      <c r="F400" s="8"/>
      <c r="G400" s="6">
        <f t="shared" si="3"/>
        <v>4780</v>
      </c>
      <c r="H400" s="6">
        <f t="shared" si="4"/>
        <v>13739</v>
      </c>
      <c r="I400" s="6">
        <f t="shared" si="5"/>
        <v>26401</v>
      </c>
      <c r="J400" s="6">
        <f t="shared" si="6"/>
        <v>79950</v>
      </c>
      <c r="K400" s="9"/>
      <c r="L400" s="9"/>
      <c r="M400" s="9"/>
      <c r="N400" s="9">
        <f t="shared" si="7"/>
        <v>44.96625422</v>
      </c>
      <c r="O400" s="10">
        <f t="shared" si="8"/>
        <v>11.15899582</v>
      </c>
      <c r="P400" s="9">
        <v>30.0</v>
      </c>
      <c r="Q400" s="11" t="str">
        <f t="shared" si="9"/>
        <v>¡Compra YA!</v>
      </c>
      <c r="R400" s="12"/>
      <c r="S400" s="8"/>
      <c r="T400" s="12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5" t="s">
        <v>794</v>
      </c>
      <c r="B401" s="6" t="s">
        <v>795</v>
      </c>
      <c r="C401" s="6">
        <f t="shared" si="1"/>
        <v>2900</v>
      </c>
      <c r="D401" s="6">
        <f t="shared" si="42"/>
        <v>73</v>
      </c>
      <c r="E401" s="7">
        <v>0.0</v>
      </c>
      <c r="F401" s="8"/>
      <c r="G401" s="6">
        <f t="shared" si="3"/>
        <v>4906</v>
      </c>
      <c r="H401" s="6">
        <f t="shared" si="4"/>
        <v>10612</v>
      </c>
      <c r="I401" s="6">
        <f t="shared" si="5"/>
        <v>23395</v>
      </c>
      <c r="J401" s="6">
        <f t="shared" si="6"/>
        <v>32462</v>
      </c>
      <c r="K401" s="9"/>
      <c r="L401" s="9"/>
      <c r="M401" s="9"/>
      <c r="N401" s="9">
        <f t="shared" si="7"/>
        <v>11.1937931</v>
      </c>
      <c r="O401" s="10">
        <f t="shared" si="8"/>
        <v>17.73338769</v>
      </c>
      <c r="P401" s="9">
        <v>30.0</v>
      </c>
      <c r="Q401" s="11" t="str">
        <f t="shared" si="9"/>
        <v>¡Compra YA!</v>
      </c>
      <c r="R401" s="12"/>
      <c r="S401" s="8"/>
      <c r="T401" s="12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5.75" customHeight="1">
      <c r="A402" s="5" t="s">
        <v>796</v>
      </c>
      <c r="B402" s="6" t="s">
        <v>797</v>
      </c>
      <c r="C402" s="6">
        <f t="shared" si="1"/>
        <v>5388</v>
      </c>
      <c r="D402" s="6">
        <f t="shared" si="42"/>
        <v>134</v>
      </c>
      <c r="E402" s="7">
        <v>0.0</v>
      </c>
      <c r="F402" s="8"/>
      <c r="G402" s="6">
        <f t="shared" si="3"/>
        <v>6615</v>
      </c>
      <c r="H402" s="6">
        <f t="shared" si="4"/>
        <v>18057</v>
      </c>
      <c r="I402" s="6">
        <f t="shared" si="5"/>
        <v>28050</v>
      </c>
      <c r="J402" s="6">
        <f t="shared" si="6"/>
        <v>43346</v>
      </c>
      <c r="K402" s="9"/>
      <c r="L402" s="9"/>
      <c r="M402" s="9"/>
      <c r="N402" s="9">
        <f t="shared" si="7"/>
        <v>8.044914625</v>
      </c>
      <c r="O402" s="10">
        <f t="shared" si="8"/>
        <v>24.43537415</v>
      </c>
      <c r="P402" s="9">
        <v>30.0</v>
      </c>
      <c r="Q402" s="11" t="str">
        <f t="shared" si="9"/>
        <v>¡Compra YA!</v>
      </c>
      <c r="R402" s="12"/>
      <c r="S402" s="8"/>
      <c r="T402" s="12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5.75" customHeight="1">
      <c r="A403" s="5" t="s">
        <v>798</v>
      </c>
      <c r="B403" s="6" t="s">
        <v>799</v>
      </c>
      <c r="C403" s="6">
        <f t="shared" si="1"/>
        <v>6313</v>
      </c>
      <c r="D403" s="6">
        <f t="shared" si="42"/>
        <v>29</v>
      </c>
      <c r="E403" s="7">
        <v>0.0</v>
      </c>
      <c r="F403" s="8"/>
      <c r="G403" s="6">
        <f t="shared" si="3"/>
        <v>2294</v>
      </c>
      <c r="H403" s="6">
        <f t="shared" si="4"/>
        <v>17798</v>
      </c>
      <c r="I403" s="6">
        <f t="shared" si="5"/>
        <v>25069</v>
      </c>
      <c r="J403" s="6">
        <f t="shared" si="6"/>
        <v>97139</v>
      </c>
      <c r="K403" s="9"/>
      <c r="L403" s="9"/>
      <c r="M403" s="9"/>
      <c r="N403" s="9">
        <f t="shared" si="7"/>
        <v>15.38713765</v>
      </c>
      <c r="O403" s="10">
        <f t="shared" si="8"/>
        <v>82.55884917</v>
      </c>
      <c r="P403" s="9">
        <v>30.0</v>
      </c>
      <c r="Q403" s="11" t="str">
        <f t="shared" si="9"/>
        <v>cobertura correcta</v>
      </c>
      <c r="R403" s="12"/>
      <c r="S403" s="8"/>
      <c r="T403" s="12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5.75" customHeight="1">
      <c r="A404" s="5" t="s">
        <v>800</v>
      </c>
      <c r="B404" s="6" t="s">
        <v>801</v>
      </c>
      <c r="C404" s="6">
        <f t="shared" si="1"/>
        <v>4063</v>
      </c>
      <c r="D404" s="6">
        <f t="shared" si="42"/>
        <v>12</v>
      </c>
      <c r="E404" s="7">
        <v>0.0</v>
      </c>
      <c r="F404" s="8"/>
      <c r="G404" s="6">
        <f t="shared" si="3"/>
        <v>4511</v>
      </c>
      <c r="H404" s="6">
        <f t="shared" si="4"/>
        <v>18431</v>
      </c>
      <c r="I404" s="6">
        <f t="shared" si="5"/>
        <v>26333</v>
      </c>
      <c r="J404" s="6">
        <f t="shared" si="6"/>
        <v>30769</v>
      </c>
      <c r="K404" s="9"/>
      <c r="L404" s="9"/>
      <c r="M404" s="9"/>
      <c r="N404" s="9">
        <f t="shared" si="7"/>
        <v>7.572975634</v>
      </c>
      <c r="O404" s="10">
        <f t="shared" si="8"/>
        <v>27.02061627</v>
      </c>
      <c r="P404" s="9">
        <v>30.0</v>
      </c>
      <c r="Q404" s="11" t="str">
        <f t="shared" si="9"/>
        <v>¡Compra YA!</v>
      </c>
      <c r="R404" s="12"/>
      <c r="S404" s="8"/>
      <c r="T404" s="12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5.75" customHeight="1">
      <c r="A405" s="5" t="s">
        <v>802</v>
      </c>
      <c r="B405" s="6" t="s">
        <v>803</v>
      </c>
      <c r="C405" s="6">
        <f t="shared" si="1"/>
        <v>6594</v>
      </c>
      <c r="D405" s="6">
        <f t="shared" si="42"/>
        <v>69</v>
      </c>
      <c r="E405" s="7">
        <v>0.0</v>
      </c>
      <c r="F405" s="8"/>
      <c r="G405" s="6">
        <f t="shared" si="3"/>
        <v>3810</v>
      </c>
      <c r="H405" s="6">
        <f t="shared" si="4"/>
        <v>9878</v>
      </c>
      <c r="I405" s="6">
        <f t="shared" si="5"/>
        <v>27626</v>
      </c>
      <c r="J405" s="6">
        <f t="shared" si="6"/>
        <v>86592</v>
      </c>
      <c r="K405" s="9"/>
      <c r="L405" s="9"/>
      <c r="M405" s="9"/>
      <c r="N405" s="9">
        <f t="shared" si="7"/>
        <v>13.13193813</v>
      </c>
      <c r="O405" s="10">
        <f t="shared" si="8"/>
        <v>51.92125984</v>
      </c>
      <c r="P405" s="9">
        <v>30.0</v>
      </c>
      <c r="Q405" s="11" t="str">
        <f t="shared" si="9"/>
        <v>cobertura correcta</v>
      </c>
      <c r="R405" s="12"/>
      <c r="S405" s="8"/>
      <c r="T405" s="12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5.75" customHeight="1">
      <c r="A406" s="5" t="s">
        <v>804</v>
      </c>
      <c r="B406" s="6" t="s">
        <v>805</v>
      </c>
      <c r="C406" s="6">
        <f t="shared" si="1"/>
        <v>5203</v>
      </c>
      <c r="D406" s="6">
        <f t="shared" si="42"/>
        <v>56</v>
      </c>
      <c r="E406" s="7">
        <v>0.0</v>
      </c>
      <c r="F406" s="8"/>
      <c r="G406" s="6">
        <f t="shared" si="3"/>
        <v>6915</v>
      </c>
      <c r="H406" s="6">
        <f t="shared" si="4"/>
        <v>15449</v>
      </c>
      <c r="I406" s="6">
        <f t="shared" si="5"/>
        <v>21560</v>
      </c>
      <c r="J406" s="6">
        <f t="shared" si="6"/>
        <v>67713</v>
      </c>
      <c r="K406" s="9"/>
      <c r="L406" s="9"/>
      <c r="M406" s="9"/>
      <c r="N406" s="9">
        <f t="shared" si="7"/>
        <v>13.01422256</v>
      </c>
      <c r="O406" s="10">
        <f t="shared" si="8"/>
        <v>22.57266811</v>
      </c>
      <c r="P406" s="9">
        <v>30.0</v>
      </c>
      <c r="Q406" s="11" t="str">
        <f t="shared" si="9"/>
        <v>¡Compra YA!</v>
      </c>
      <c r="R406" s="12"/>
      <c r="S406" s="8"/>
      <c r="T406" s="12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5.75" customHeight="1">
      <c r="A407" s="5" t="s">
        <v>806</v>
      </c>
      <c r="B407" s="6" t="s">
        <v>807</v>
      </c>
      <c r="C407" s="6">
        <f t="shared" si="1"/>
        <v>5912</v>
      </c>
      <c r="D407" s="6">
        <f t="shared" si="42"/>
        <v>1</v>
      </c>
      <c r="E407" s="7">
        <v>0.0</v>
      </c>
      <c r="F407" s="8"/>
      <c r="G407" s="6">
        <f t="shared" si="3"/>
        <v>7020</v>
      </c>
      <c r="H407" s="6">
        <f t="shared" si="4"/>
        <v>17462</v>
      </c>
      <c r="I407" s="6">
        <f t="shared" si="5"/>
        <v>23794</v>
      </c>
      <c r="J407" s="6">
        <f t="shared" si="6"/>
        <v>40266</v>
      </c>
      <c r="K407" s="9"/>
      <c r="L407" s="9"/>
      <c r="M407" s="9"/>
      <c r="N407" s="9">
        <f t="shared" si="7"/>
        <v>6.810893099</v>
      </c>
      <c r="O407" s="10">
        <f t="shared" si="8"/>
        <v>25.26495726</v>
      </c>
      <c r="P407" s="9">
        <v>30.0</v>
      </c>
      <c r="Q407" s="11" t="str">
        <f t="shared" si="9"/>
        <v>¡Compra YA!</v>
      </c>
      <c r="R407" s="12"/>
      <c r="S407" s="8"/>
      <c r="T407" s="12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5.75" customHeight="1">
      <c r="A408" s="5" t="s">
        <v>808</v>
      </c>
      <c r="B408" s="6" t="s">
        <v>809</v>
      </c>
      <c r="C408" s="6">
        <f t="shared" si="1"/>
        <v>2905</v>
      </c>
      <c r="D408" s="6">
        <f t="shared" si="42"/>
        <v>94</v>
      </c>
      <c r="E408" s="7">
        <v>0.0</v>
      </c>
      <c r="F408" s="8"/>
      <c r="G408" s="6">
        <f t="shared" si="3"/>
        <v>6863</v>
      </c>
      <c r="H408" s="6">
        <f t="shared" si="4"/>
        <v>13176</v>
      </c>
      <c r="I408" s="6">
        <f t="shared" si="5"/>
        <v>24278</v>
      </c>
      <c r="J408" s="6">
        <f t="shared" si="6"/>
        <v>65429</v>
      </c>
      <c r="K408" s="9"/>
      <c r="L408" s="9"/>
      <c r="M408" s="9"/>
      <c r="N408" s="9">
        <f t="shared" si="7"/>
        <v>22.52289157</v>
      </c>
      <c r="O408" s="10">
        <f t="shared" si="8"/>
        <v>12.69852834</v>
      </c>
      <c r="P408" s="9">
        <v>30.0</v>
      </c>
      <c r="Q408" s="11" t="str">
        <f t="shared" si="9"/>
        <v>¡Compra YA!</v>
      </c>
      <c r="R408" s="12"/>
      <c r="S408" s="8"/>
      <c r="T408" s="12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5.75" customHeight="1">
      <c r="A409" s="5" t="s">
        <v>810</v>
      </c>
      <c r="B409" s="6" t="s">
        <v>811</v>
      </c>
      <c r="C409" s="6">
        <f t="shared" si="1"/>
        <v>4265</v>
      </c>
      <c r="D409" s="6">
        <f t="shared" si="42"/>
        <v>48</v>
      </c>
      <c r="E409" s="7">
        <v>0.0</v>
      </c>
      <c r="F409" s="8"/>
      <c r="G409" s="6">
        <f t="shared" si="3"/>
        <v>5448</v>
      </c>
      <c r="H409" s="6">
        <f t="shared" si="4"/>
        <v>12177</v>
      </c>
      <c r="I409" s="6">
        <f t="shared" si="5"/>
        <v>25968</v>
      </c>
      <c r="J409" s="6">
        <f t="shared" si="6"/>
        <v>95988</v>
      </c>
      <c r="K409" s="9"/>
      <c r="L409" s="9"/>
      <c r="M409" s="9"/>
      <c r="N409" s="9">
        <f t="shared" si="7"/>
        <v>22.5059789</v>
      </c>
      <c r="O409" s="10">
        <f t="shared" si="8"/>
        <v>23.48568282</v>
      </c>
      <c r="P409" s="9">
        <v>30.0</v>
      </c>
      <c r="Q409" s="11" t="str">
        <f t="shared" si="9"/>
        <v>¡Compra YA!</v>
      </c>
      <c r="R409" s="12"/>
      <c r="S409" s="8"/>
      <c r="T409" s="12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5.75" customHeight="1">
      <c r="A410" s="5" t="s">
        <v>812</v>
      </c>
      <c r="B410" s="6" t="s">
        <v>813</v>
      </c>
      <c r="C410" s="6">
        <f t="shared" si="1"/>
        <v>4499</v>
      </c>
      <c r="D410" s="6">
        <f t="shared" si="42"/>
        <v>26</v>
      </c>
      <c r="E410" s="7">
        <v>0.0</v>
      </c>
      <c r="F410" s="8"/>
      <c r="G410" s="6">
        <f t="shared" si="3"/>
        <v>1212</v>
      </c>
      <c r="H410" s="6">
        <f t="shared" si="4"/>
        <v>15550</v>
      </c>
      <c r="I410" s="6">
        <f t="shared" si="5"/>
        <v>28478</v>
      </c>
      <c r="J410" s="6">
        <f t="shared" si="6"/>
        <v>44750</v>
      </c>
      <c r="K410" s="9"/>
      <c r="L410" s="9"/>
      <c r="M410" s="9"/>
      <c r="N410" s="9">
        <f t="shared" si="7"/>
        <v>9.946654812</v>
      </c>
      <c r="O410" s="10">
        <f t="shared" si="8"/>
        <v>111.3613861</v>
      </c>
      <c r="P410" s="9">
        <v>30.0</v>
      </c>
      <c r="Q410" s="11" t="str">
        <f t="shared" si="9"/>
        <v>cobertura correcta</v>
      </c>
      <c r="R410" s="12"/>
      <c r="S410" s="8"/>
      <c r="T410" s="12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5.75" customHeight="1">
      <c r="A411" s="5" t="s">
        <v>814</v>
      </c>
      <c r="B411" s="6" t="s">
        <v>815</v>
      </c>
      <c r="C411" s="6">
        <f t="shared" si="1"/>
        <v>4420</v>
      </c>
      <c r="D411" s="6">
        <f t="shared" si="42"/>
        <v>192</v>
      </c>
      <c r="E411" s="7">
        <v>0.0</v>
      </c>
      <c r="F411" s="8"/>
      <c r="G411" s="6">
        <f t="shared" si="3"/>
        <v>2332</v>
      </c>
      <c r="H411" s="6">
        <f t="shared" si="4"/>
        <v>18020</v>
      </c>
      <c r="I411" s="6">
        <f t="shared" si="5"/>
        <v>24877</v>
      </c>
      <c r="J411" s="6">
        <f t="shared" si="6"/>
        <v>54153</v>
      </c>
      <c r="K411" s="9"/>
      <c r="L411" s="9"/>
      <c r="M411" s="9"/>
      <c r="N411" s="9">
        <f t="shared" si="7"/>
        <v>12.25180995</v>
      </c>
      <c r="O411" s="10">
        <f t="shared" si="8"/>
        <v>56.86106346</v>
      </c>
      <c r="P411" s="9">
        <v>30.0</v>
      </c>
      <c r="Q411" s="11" t="str">
        <f t="shared" si="9"/>
        <v>cobertura correcta</v>
      </c>
      <c r="R411" s="12"/>
      <c r="S411" s="8"/>
      <c r="T411" s="12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5.75" customHeight="1">
      <c r="A412" s="5" t="s">
        <v>816</v>
      </c>
      <c r="B412" s="6" t="s">
        <v>817</v>
      </c>
      <c r="C412" s="6">
        <f t="shared" si="1"/>
        <v>3253</v>
      </c>
      <c r="D412" s="6">
        <f t="shared" si="42"/>
        <v>175</v>
      </c>
      <c r="E412" s="7">
        <v>0.0</v>
      </c>
      <c r="F412" s="8"/>
      <c r="G412" s="6">
        <f t="shared" si="3"/>
        <v>3435</v>
      </c>
      <c r="H412" s="6">
        <f t="shared" si="4"/>
        <v>9076</v>
      </c>
      <c r="I412" s="6">
        <f t="shared" si="5"/>
        <v>24965</v>
      </c>
      <c r="J412" s="6">
        <f t="shared" si="6"/>
        <v>36400</v>
      </c>
      <c r="K412" s="9"/>
      <c r="L412" s="9"/>
      <c r="M412" s="9"/>
      <c r="N412" s="9">
        <f t="shared" si="7"/>
        <v>11.18967107</v>
      </c>
      <c r="O412" s="10">
        <f t="shared" si="8"/>
        <v>28.41048035</v>
      </c>
      <c r="P412" s="9">
        <v>30.0</v>
      </c>
      <c r="Q412" s="11" t="str">
        <f t="shared" si="9"/>
        <v>¡Compra YA!</v>
      </c>
      <c r="R412" s="12"/>
      <c r="S412" s="8"/>
      <c r="T412" s="12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5.75" customHeight="1">
      <c r="A413" s="5" t="s">
        <v>818</v>
      </c>
      <c r="B413" s="6" t="s">
        <v>819</v>
      </c>
      <c r="C413" s="6">
        <f t="shared" si="1"/>
        <v>5054</v>
      </c>
      <c r="D413" s="6">
        <f t="shared" si="42"/>
        <v>44</v>
      </c>
      <c r="E413" s="7">
        <v>0.0</v>
      </c>
      <c r="F413" s="8"/>
      <c r="G413" s="6">
        <f t="shared" si="3"/>
        <v>3765</v>
      </c>
      <c r="H413" s="6">
        <f t="shared" si="4"/>
        <v>13637</v>
      </c>
      <c r="I413" s="6">
        <f t="shared" si="5"/>
        <v>21779</v>
      </c>
      <c r="J413" s="6">
        <f t="shared" si="6"/>
        <v>73123</v>
      </c>
      <c r="K413" s="9"/>
      <c r="L413" s="9"/>
      <c r="M413" s="9"/>
      <c r="N413" s="9">
        <f t="shared" si="7"/>
        <v>14.46834191</v>
      </c>
      <c r="O413" s="10">
        <f t="shared" si="8"/>
        <v>40.27091633</v>
      </c>
      <c r="P413" s="9">
        <v>30.0</v>
      </c>
      <c r="Q413" s="11" t="str">
        <f t="shared" si="9"/>
        <v>cobertura correcta</v>
      </c>
      <c r="R413" s="12"/>
      <c r="S413" s="8"/>
      <c r="T413" s="12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5.75" customHeight="1">
      <c r="A414" s="5" t="s">
        <v>820</v>
      </c>
      <c r="B414" s="6" t="s">
        <v>821</v>
      </c>
      <c r="C414" s="6">
        <f t="shared" si="1"/>
        <v>6931</v>
      </c>
      <c r="D414" s="6">
        <f t="shared" si="42"/>
        <v>98</v>
      </c>
      <c r="E414" s="7">
        <v>0.0</v>
      </c>
      <c r="F414" s="8"/>
      <c r="G414" s="6">
        <f t="shared" si="3"/>
        <v>6680</v>
      </c>
      <c r="H414" s="6">
        <f t="shared" si="4"/>
        <v>12565</v>
      </c>
      <c r="I414" s="6">
        <f t="shared" si="5"/>
        <v>22002</v>
      </c>
      <c r="J414" s="6">
        <f t="shared" si="6"/>
        <v>89206</v>
      </c>
      <c r="K414" s="9"/>
      <c r="L414" s="9"/>
      <c r="M414" s="9"/>
      <c r="N414" s="9">
        <f t="shared" si="7"/>
        <v>12.87058145</v>
      </c>
      <c r="O414" s="10">
        <f t="shared" si="8"/>
        <v>31.12724551</v>
      </c>
      <c r="P414" s="9">
        <v>30.0</v>
      </c>
      <c r="Q414" s="11" t="str">
        <f t="shared" si="9"/>
        <v>cobertura correcta</v>
      </c>
      <c r="R414" s="12"/>
      <c r="S414" s="8"/>
      <c r="T414" s="12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5.75" customHeight="1">
      <c r="A415" s="5" t="s">
        <v>822</v>
      </c>
      <c r="B415" s="6" t="s">
        <v>823</v>
      </c>
      <c r="C415" s="6">
        <f t="shared" si="1"/>
        <v>1499</v>
      </c>
      <c r="D415" s="6">
        <f t="shared" si="42"/>
        <v>165</v>
      </c>
      <c r="E415" s="7">
        <v>0.0</v>
      </c>
      <c r="F415" s="8"/>
      <c r="G415" s="6">
        <f t="shared" si="3"/>
        <v>4502</v>
      </c>
      <c r="H415" s="6">
        <f t="shared" si="4"/>
        <v>10092</v>
      </c>
      <c r="I415" s="6">
        <f t="shared" si="5"/>
        <v>24248</v>
      </c>
      <c r="J415" s="6">
        <f t="shared" si="6"/>
        <v>79882</v>
      </c>
      <c r="K415" s="9"/>
      <c r="L415" s="9"/>
      <c r="M415" s="9"/>
      <c r="N415" s="9">
        <f t="shared" si="7"/>
        <v>53.29019346</v>
      </c>
      <c r="O415" s="10">
        <f t="shared" si="8"/>
        <v>9.988893825</v>
      </c>
      <c r="P415" s="9">
        <v>30.0</v>
      </c>
      <c r="Q415" s="11" t="str">
        <f t="shared" si="9"/>
        <v>¡Compra YA!</v>
      </c>
      <c r="R415" s="12"/>
      <c r="S415" s="8"/>
      <c r="T415" s="12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5.75" customHeight="1">
      <c r="A416" s="5" t="s">
        <v>824</v>
      </c>
      <c r="B416" s="6" t="s">
        <v>825</v>
      </c>
      <c r="C416" s="6">
        <f t="shared" si="1"/>
        <v>8359</v>
      </c>
      <c r="D416" s="6">
        <f t="shared" si="42"/>
        <v>2</v>
      </c>
      <c r="E416" s="7">
        <v>0.0</v>
      </c>
      <c r="F416" s="8"/>
      <c r="G416" s="6">
        <f t="shared" si="3"/>
        <v>4629</v>
      </c>
      <c r="H416" s="6">
        <f t="shared" si="4"/>
        <v>11206</v>
      </c>
      <c r="I416" s="6">
        <f t="shared" si="5"/>
        <v>26400</v>
      </c>
      <c r="J416" s="6">
        <f t="shared" si="6"/>
        <v>81008</v>
      </c>
      <c r="K416" s="9"/>
      <c r="L416" s="9"/>
      <c r="M416" s="9"/>
      <c r="N416" s="9">
        <f t="shared" si="7"/>
        <v>9.691111377</v>
      </c>
      <c r="O416" s="10">
        <f t="shared" si="8"/>
        <v>54.17368762</v>
      </c>
      <c r="P416" s="9">
        <v>30.0</v>
      </c>
      <c r="Q416" s="11" t="str">
        <f t="shared" si="9"/>
        <v>cobertura correcta</v>
      </c>
      <c r="R416" s="12"/>
      <c r="S416" s="8"/>
      <c r="T416" s="12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5.75" customHeight="1">
      <c r="A417" s="5" t="s">
        <v>826</v>
      </c>
      <c r="B417" s="6" t="s">
        <v>827</v>
      </c>
      <c r="C417" s="6">
        <f t="shared" si="1"/>
        <v>5217</v>
      </c>
      <c r="D417" s="6">
        <f t="shared" si="42"/>
        <v>77</v>
      </c>
      <c r="E417" s="7">
        <v>0.0</v>
      </c>
      <c r="F417" s="8"/>
      <c r="G417" s="6">
        <f t="shared" si="3"/>
        <v>6159</v>
      </c>
      <c r="H417" s="6">
        <f t="shared" si="4"/>
        <v>17126</v>
      </c>
      <c r="I417" s="6">
        <f t="shared" si="5"/>
        <v>21868</v>
      </c>
      <c r="J417" s="6">
        <f t="shared" si="6"/>
        <v>32958</v>
      </c>
      <c r="K417" s="9"/>
      <c r="L417" s="9"/>
      <c r="M417" s="9"/>
      <c r="N417" s="9">
        <f t="shared" si="7"/>
        <v>6.317423807</v>
      </c>
      <c r="O417" s="10">
        <f t="shared" si="8"/>
        <v>25.41159279</v>
      </c>
      <c r="P417" s="9">
        <v>30.0</v>
      </c>
      <c r="Q417" s="11" t="str">
        <f t="shared" si="9"/>
        <v>¡Compra YA!</v>
      </c>
      <c r="R417" s="12"/>
      <c r="S417" s="8"/>
      <c r="T417" s="12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5.75" customHeight="1">
      <c r="A418" s="5" t="s">
        <v>828</v>
      </c>
      <c r="B418" s="6" t="s">
        <v>829</v>
      </c>
      <c r="C418" s="6">
        <f t="shared" si="1"/>
        <v>5865</v>
      </c>
      <c r="D418" s="6">
        <f t="shared" si="42"/>
        <v>104</v>
      </c>
      <c r="E418" s="7">
        <v>0.0</v>
      </c>
      <c r="F418" s="8"/>
      <c r="G418" s="6">
        <f t="shared" si="3"/>
        <v>8125</v>
      </c>
      <c r="H418" s="6">
        <f t="shared" si="4"/>
        <v>13803</v>
      </c>
      <c r="I418" s="6">
        <f t="shared" si="5"/>
        <v>19355</v>
      </c>
      <c r="J418" s="6">
        <f t="shared" si="6"/>
        <v>34445</v>
      </c>
      <c r="K418" s="9"/>
      <c r="L418" s="9"/>
      <c r="M418" s="9"/>
      <c r="N418" s="9">
        <f t="shared" si="7"/>
        <v>5.872975277</v>
      </c>
      <c r="O418" s="10">
        <f t="shared" si="8"/>
        <v>21.65538462</v>
      </c>
      <c r="P418" s="9">
        <v>30.0</v>
      </c>
      <c r="Q418" s="11" t="str">
        <f t="shared" si="9"/>
        <v>¡Compra YA!</v>
      </c>
      <c r="R418" s="12"/>
      <c r="S418" s="8"/>
      <c r="T418" s="12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5.75" customHeight="1">
      <c r="A419" s="5" t="s">
        <v>830</v>
      </c>
      <c r="B419" s="6" t="s">
        <v>831</v>
      </c>
      <c r="C419" s="6">
        <f t="shared" si="1"/>
        <v>7352</v>
      </c>
      <c r="D419" s="6">
        <f t="shared" si="42"/>
        <v>8</v>
      </c>
      <c r="E419" s="7">
        <v>0.0</v>
      </c>
      <c r="F419" s="8"/>
      <c r="G419" s="6">
        <f t="shared" si="3"/>
        <v>2676</v>
      </c>
      <c r="H419" s="6">
        <f t="shared" si="4"/>
        <v>14207</v>
      </c>
      <c r="I419" s="6">
        <f t="shared" si="5"/>
        <v>20635</v>
      </c>
      <c r="J419" s="6">
        <f t="shared" si="6"/>
        <v>40656</v>
      </c>
      <c r="K419" s="9"/>
      <c r="L419" s="9"/>
      <c r="M419" s="9"/>
      <c r="N419" s="9">
        <f t="shared" si="7"/>
        <v>5.52992383</v>
      </c>
      <c r="O419" s="10">
        <f t="shared" si="8"/>
        <v>82.42152466</v>
      </c>
      <c r="P419" s="9">
        <v>30.0</v>
      </c>
      <c r="Q419" s="11" t="str">
        <f t="shared" si="9"/>
        <v>cobertura correcta</v>
      </c>
      <c r="R419" s="12"/>
      <c r="S419" s="8"/>
      <c r="T419" s="12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5.75" customHeight="1">
      <c r="A420" s="5" t="s">
        <v>832</v>
      </c>
      <c r="B420" s="6" t="s">
        <v>833</v>
      </c>
      <c r="C420" s="6">
        <f t="shared" si="1"/>
        <v>7272</v>
      </c>
      <c r="D420" s="6">
        <f t="shared" si="42"/>
        <v>115</v>
      </c>
      <c r="E420" s="7">
        <v>0.0</v>
      </c>
      <c r="F420" s="8"/>
      <c r="G420" s="6">
        <f t="shared" si="3"/>
        <v>8016</v>
      </c>
      <c r="H420" s="6">
        <f t="shared" si="4"/>
        <v>14590</v>
      </c>
      <c r="I420" s="6">
        <f t="shared" si="5"/>
        <v>20530</v>
      </c>
      <c r="J420" s="6">
        <f t="shared" si="6"/>
        <v>71074</v>
      </c>
      <c r="K420" s="9"/>
      <c r="L420" s="9"/>
      <c r="M420" s="9"/>
      <c r="N420" s="9">
        <f t="shared" si="7"/>
        <v>9.773652365</v>
      </c>
      <c r="O420" s="10">
        <f t="shared" si="8"/>
        <v>27.21556886</v>
      </c>
      <c r="P420" s="9">
        <v>30.0</v>
      </c>
      <c r="Q420" s="11" t="str">
        <f t="shared" si="9"/>
        <v>¡Compra YA!</v>
      </c>
      <c r="R420" s="12"/>
      <c r="S420" s="8"/>
      <c r="T420" s="12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5.75" customHeight="1">
      <c r="A421" s="5" t="s">
        <v>834</v>
      </c>
      <c r="B421" s="6" t="s">
        <v>835</v>
      </c>
      <c r="C421" s="6">
        <f t="shared" si="1"/>
        <v>2412</v>
      </c>
      <c r="D421" s="6">
        <f t="shared" si="42"/>
        <v>140</v>
      </c>
      <c r="E421" s="7">
        <v>0.0</v>
      </c>
      <c r="F421" s="8"/>
      <c r="G421" s="6">
        <f t="shared" si="3"/>
        <v>6752</v>
      </c>
      <c r="H421" s="6">
        <f t="shared" si="4"/>
        <v>13333</v>
      </c>
      <c r="I421" s="6">
        <f t="shared" si="5"/>
        <v>23428</v>
      </c>
      <c r="J421" s="6">
        <f t="shared" si="6"/>
        <v>34840</v>
      </c>
      <c r="K421" s="9"/>
      <c r="L421" s="9"/>
      <c r="M421" s="9"/>
      <c r="N421" s="9">
        <f t="shared" si="7"/>
        <v>14.44444444</v>
      </c>
      <c r="O421" s="10">
        <f t="shared" si="8"/>
        <v>10.71682464</v>
      </c>
      <c r="P421" s="9">
        <v>30.0</v>
      </c>
      <c r="Q421" s="11" t="str">
        <f t="shared" si="9"/>
        <v>¡Compra YA!</v>
      </c>
      <c r="R421" s="12"/>
      <c r="S421" s="8"/>
      <c r="T421" s="12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5.75" customHeight="1">
      <c r="A422" s="5" t="s">
        <v>836</v>
      </c>
      <c r="B422" s="6" t="s">
        <v>837</v>
      </c>
      <c r="C422" s="6">
        <f t="shared" si="1"/>
        <v>8660</v>
      </c>
      <c r="D422" s="6">
        <f t="shared" si="42"/>
        <v>7</v>
      </c>
      <c r="E422" s="7">
        <v>0.0</v>
      </c>
      <c r="F422" s="8"/>
      <c r="G422" s="6">
        <f t="shared" si="3"/>
        <v>7036</v>
      </c>
      <c r="H422" s="6">
        <f t="shared" si="4"/>
        <v>12385</v>
      </c>
      <c r="I422" s="6">
        <f t="shared" si="5"/>
        <v>21301</v>
      </c>
      <c r="J422" s="6">
        <f t="shared" si="6"/>
        <v>75590</v>
      </c>
      <c r="K422" s="9"/>
      <c r="L422" s="9"/>
      <c r="M422" s="9"/>
      <c r="N422" s="9">
        <f t="shared" si="7"/>
        <v>8.728637413</v>
      </c>
      <c r="O422" s="10">
        <f t="shared" si="8"/>
        <v>36.92438886</v>
      </c>
      <c r="P422" s="9">
        <v>30.0</v>
      </c>
      <c r="Q422" s="11" t="str">
        <f t="shared" si="9"/>
        <v>cobertura correcta</v>
      </c>
      <c r="R422" s="12"/>
      <c r="S422" s="8"/>
      <c r="T422" s="12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5.75" customHeight="1">
      <c r="A423" s="5" t="s">
        <v>838</v>
      </c>
      <c r="B423" s="6" t="s">
        <v>839</v>
      </c>
      <c r="C423" s="6">
        <f t="shared" si="1"/>
        <v>6811</v>
      </c>
      <c r="D423" s="6">
        <f t="shared" si="42"/>
        <v>52</v>
      </c>
      <c r="E423" s="7">
        <v>0.0</v>
      </c>
      <c r="F423" s="8"/>
      <c r="G423" s="6">
        <f t="shared" si="3"/>
        <v>8897</v>
      </c>
      <c r="H423" s="6">
        <f t="shared" si="4"/>
        <v>13504</v>
      </c>
      <c r="I423" s="6">
        <f t="shared" si="5"/>
        <v>27113</v>
      </c>
      <c r="J423" s="6">
        <f t="shared" si="6"/>
        <v>78763</v>
      </c>
      <c r="K423" s="9"/>
      <c r="L423" s="9"/>
      <c r="M423" s="9"/>
      <c r="N423" s="9">
        <f t="shared" si="7"/>
        <v>11.56408751</v>
      </c>
      <c r="O423" s="10">
        <f t="shared" si="8"/>
        <v>22.96616837</v>
      </c>
      <c r="P423" s="9">
        <v>30.0</v>
      </c>
      <c r="Q423" s="11" t="str">
        <f t="shared" si="9"/>
        <v>¡Compra YA!</v>
      </c>
      <c r="R423" s="12"/>
      <c r="S423" s="8"/>
      <c r="T423" s="12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5.75" customHeight="1">
      <c r="A424" s="5" t="s">
        <v>840</v>
      </c>
      <c r="B424" s="6" t="s">
        <v>841</v>
      </c>
      <c r="C424" s="6">
        <f t="shared" si="1"/>
        <v>6422</v>
      </c>
      <c r="D424" s="6">
        <f t="shared" si="42"/>
        <v>123</v>
      </c>
      <c r="E424" s="7">
        <v>0.0</v>
      </c>
      <c r="F424" s="8"/>
      <c r="G424" s="6">
        <f t="shared" si="3"/>
        <v>7495</v>
      </c>
      <c r="H424" s="6">
        <f t="shared" si="4"/>
        <v>10035</v>
      </c>
      <c r="I424" s="6">
        <f t="shared" si="5"/>
        <v>23426</v>
      </c>
      <c r="J424" s="6">
        <f t="shared" si="6"/>
        <v>80622</v>
      </c>
      <c r="K424" s="9"/>
      <c r="L424" s="9"/>
      <c r="M424" s="9"/>
      <c r="N424" s="9">
        <f t="shared" si="7"/>
        <v>12.55403301</v>
      </c>
      <c r="O424" s="10">
        <f t="shared" si="8"/>
        <v>25.70513676</v>
      </c>
      <c r="P424" s="9">
        <v>30.0</v>
      </c>
      <c r="Q424" s="11" t="str">
        <f t="shared" si="9"/>
        <v>¡Compra YA!</v>
      </c>
      <c r="R424" s="12"/>
      <c r="S424" s="8"/>
      <c r="T424" s="12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5.75" customHeight="1">
      <c r="A425" s="5" t="s">
        <v>842</v>
      </c>
      <c r="B425" s="6" t="s">
        <v>843</v>
      </c>
      <c r="C425" s="6">
        <f t="shared" si="1"/>
        <v>5053</v>
      </c>
      <c r="D425" s="6">
        <f t="shared" si="42"/>
        <v>69</v>
      </c>
      <c r="E425" s="7">
        <v>0.0</v>
      </c>
      <c r="F425" s="8"/>
      <c r="G425" s="6">
        <f t="shared" si="3"/>
        <v>4109</v>
      </c>
      <c r="H425" s="6">
        <f t="shared" si="4"/>
        <v>11365</v>
      </c>
      <c r="I425" s="6">
        <f t="shared" si="5"/>
        <v>23614</v>
      </c>
      <c r="J425" s="6">
        <f t="shared" si="6"/>
        <v>85596</v>
      </c>
      <c r="K425" s="9"/>
      <c r="L425" s="9"/>
      <c r="M425" s="9"/>
      <c r="N425" s="9">
        <f t="shared" si="7"/>
        <v>16.93963982</v>
      </c>
      <c r="O425" s="10">
        <f t="shared" si="8"/>
        <v>36.89218788</v>
      </c>
      <c r="P425" s="9">
        <v>30.0</v>
      </c>
      <c r="Q425" s="11" t="str">
        <f t="shared" si="9"/>
        <v>cobertura correcta</v>
      </c>
      <c r="R425" s="12"/>
      <c r="S425" s="8"/>
      <c r="T425" s="12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5.75" customHeight="1">
      <c r="A426" s="5" t="s">
        <v>844</v>
      </c>
      <c r="B426" s="6" t="s">
        <v>845</v>
      </c>
      <c r="C426" s="6">
        <f t="shared" si="1"/>
        <v>5160</v>
      </c>
      <c r="D426" s="6">
        <f t="shared" si="42"/>
        <v>48</v>
      </c>
      <c r="E426" s="7">
        <v>0.0</v>
      </c>
      <c r="F426" s="8"/>
      <c r="G426" s="6">
        <f t="shared" si="3"/>
        <v>4264</v>
      </c>
      <c r="H426" s="6">
        <f t="shared" si="4"/>
        <v>12747</v>
      </c>
      <c r="I426" s="6">
        <f t="shared" si="5"/>
        <v>24285</v>
      </c>
      <c r="J426" s="6">
        <f t="shared" si="6"/>
        <v>33140</v>
      </c>
      <c r="K426" s="9"/>
      <c r="L426" s="9"/>
      <c r="M426" s="9"/>
      <c r="N426" s="9">
        <f t="shared" si="7"/>
        <v>6.42248062</v>
      </c>
      <c r="O426" s="10">
        <f t="shared" si="8"/>
        <v>36.30393996</v>
      </c>
      <c r="P426" s="9">
        <v>30.0</v>
      </c>
      <c r="Q426" s="11" t="str">
        <f t="shared" si="9"/>
        <v>cobertura correcta</v>
      </c>
      <c r="R426" s="12"/>
      <c r="S426" s="8"/>
      <c r="T426" s="12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5.75" customHeight="1">
      <c r="A427" s="5" t="s">
        <v>846</v>
      </c>
      <c r="B427" s="6" t="s">
        <v>847</v>
      </c>
      <c r="C427" s="6">
        <f t="shared" si="1"/>
        <v>6458</v>
      </c>
      <c r="D427" s="6">
        <f t="shared" si="42"/>
        <v>112</v>
      </c>
      <c r="E427" s="7">
        <v>0.0</v>
      </c>
      <c r="F427" s="8"/>
      <c r="G427" s="6">
        <f t="shared" si="3"/>
        <v>4574</v>
      </c>
      <c r="H427" s="6">
        <f t="shared" si="4"/>
        <v>15121</v>
      </c>
      <c r="I427" s="6">
        <f t="shared" si="5"/>
        <v>25076</v>
      </c>
      <c r="J427" s="6">
        <f t="shared" si="6"/>
        <v>48289</v>
      </c>
      <c r="K427" s="9"/>
      <c r="L427" s="9"/>
      <c r="M427" s="9"/>
      <c r="N427" s="9">
        <f t="shared" si="7"/>
        <v>7.477392382</v>
      </c>
      <c r="O427" s="10">
        <f t="shared" si="8"/>
        <v>42.3567993</v>
      </c>
      <c r="P427" s="9">
        <v>30.0</v>
      </c>
      <c r="Q427" s="11" t="str">
        <f t="shared" si="9"/>
        <v>cobertura correcta</v>
      </c>
      <c r="R427" s="12"/>
      <c r="S427" s="8"/>
      <c r="T427" s="12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5.75" customHeight="1">
      <c r="A428" s="5" t="s">
        <v>848</v>
      </c>
      <c r="B428" s="6" t="s">
        <v>849</v>
      </c>
      <c r="C428" s="6">
        <f t="shared" si="1"/>
        <v>1927</v>
      </c>
      <c r="D428" s="6">
        <f t="shared" si="42"/>
        <v>53</v>
      </c>
      <c r="E428" s="7">
        <v>0.0</v>
      </c>
      <c r="F428" s="8"/>
      <c r="G428" s="6">
        <f t="shared" si="3"/>
        <v>2926</v>
      </c>
      <c r="H428" s="6">
        <f t="shared" si="4"/>
        <v>9388</v>
      </c>
      <c r="I428" s="6">
        <f t="shared" si="5"/>
        <v>20556</v>
      </c>
      <c r="J428" s="6">
        <f t="shared" si="6"/>
        <v>92889</v>
      </c>
      <c r="K428" s="9"/>
      <c r="L428" s="9"/>
      <c r="M428" s="9"/>
      <c r="N428" s="9">
        <f t="shared" si="7"/>
        <v>48.20394395</v>
      </c>
      <c r="O428" s="10">
        <f t="shared" si="8"/>
        <v>19.75734792</v>
      </c>
      <c r="P428" s="9">
        <v>30.0</v>
      </c>
      <c r="Q428" s="11" t="str">
        <f t="shared" si="9"/>
        <v>¡Compra YA!</v>
      </c>
      <c r="R428" s="12"/>
      <c r="S428" s="8"/>
      <c r="T428" s="12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5.75" customHeight="1">
      <c r="A429" s="5" t="s">
        <v>850</v>
      </c>
      <c r="B429" s="6" t="s">
        <v>851</v>
      </c>
      <c r="C429" s="6">
        <f t="shared" si="1"/>
        <v>6060</v>
      </c>
      <c r="D429" s="6">
        <f t="shared" si="42"/>
        <v>126</v>
      </c>
      <c r="E429" s="7">
        <v>0.0</v>
      </c>
      <c r="F429" s="8"/>
      <c r="G429" s="6">
        <f t="shared" si="3"/>
        <v>5813</v>
      </c>
      <c r="H429" s="6">
        <f t="shared" si="4"/>
        <v>15256</v>
      </c>
      <c r="I429" s="6">
        <f t="shared" si="5"/>
        <v>20308</v>
      </c>
      <c r="J429" s="6">
        <f t="shared" si="6"/>
        <v>70993</v>
      </c>
      <c r="K429" s="9"/>
      <c r="L429" s="9"/>
      <c r="M429" s="9"/>
      <c r="N429" s="9">
        <f t="shared" si="7"/>
        <v>11.7150165</v>
      </c>
      <c r="O429" s="10">
        <f t="shared" si="8"/>
        <v>31.27472906</v>
      </c>
      <c r="P429" s="9">
        <v>30.0</v>
      </c>
      <c r="Q429" s="11" t="str">
        <f t="shared" si="9"/>
        <v>cobertura correcta</v>
      </c>
      <c r="R429" s="12"/>
      <c r="S429" s="8"/>
      <c r="T429" s="12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5.75" customHeight="1">
      <c r="A430" s="5" t="s">
        <v>852</v>
      </c>
      <c r="B430" s="6" t="s">
        <v>853</v>
      </c>
      <c r="C430" s="6">
        <f t="shared" si="1"/>
        <v>5471</v>
      </c>
      <c r="D430" s="6">
        <f t="shared" si="42"/>
        <v>142</v>
      </c>
      <c r="E430" s="7">
        <v>0.0</v>
      </c>
      <c r="F430" s="8"/>
      <c r="G430" s="6">
        <f t="shared" si="3"/>
        <v>1392</v>
      </c>
      <c r="H430" s="6">
        <f t="shared" si="4"/>
        <v>11687</v>
      </c>
      <c r="I430" s="6">
        <f t="shared" si="5"/>
        <v>21921</v>
      </c>
      <c r="J430" s="6">
        <f t="shared" si="6"/>
        <v>31222</v>
      </c>
      <c r="K430" s="9"/>
      <c r="L430" s="9"/>
      <c r="M430" s="9"/>
      <c r="N430" s="9">
        <f t="shared" si="7"/>
        <v>5.706817766</v>
      </c>
      <c r="O430" s="10">
        <f t="shared" si="8"/>
        <v>117.9094828</v>
      </c>
      <c r="P430" s="9">
        <v>30.0</v>
      </c>
      <c r="Q430" s="11" t="str">
        <f t="shared" si="9"/>
        <v>cobertura correcta</v>
      </c>
      <c r="R430" s="12"/>
      <c r="S430" s="8"/>
      <c r="T430" s="12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5.75" customHeight="1">
      <c r="A431" s="5" t="s">
        <v>854</v>
      </c>
      <c r="B431" s="6" t="s">
        <v>855</v>
      </c>
      <c r="C431" s="6">
        <f t="shared" si="1"/>
        <v>8807</v>
      </c>
      <c r="D431" s="6">
        <f t="shared" si="42"/>
        <v>116</v>
      </c>
      <c r="E431" s="7">
        <v>0.0</v>
      </c>
      <c r="F431" s="8"/>
      <c r="G431" s="6">
        <f t="shared" si="3"/>
        <v>6240</v>
      </c>
      <c r="H431" s="6">
        <f t="shared" si="4"/>
        <v>13961</v>
      </c>
      <c r="I431" s="6">
        <f t="shared" si="5"/>
        <v>27315</v>
      </c>
      <c r="J431" s="6">
        <f t="shared" si="6"/>
        <v>79216</v>
      </c>
      <c r="K431" s="9"/>
      <c r="L431" s="9"/>
      <c r="M431" s="9"/>
      <c r="N431" s="9">
        <f t="shared" si="7"/>
        <v>8.994663336</v>
      </c>
      <c r="O431" s="10">
        <f t="shared" si="8"/>
        <v>42.34134615</v>
      </c>
      <c r="P431" s="9">
        <v>30.0</v>
      </c>
      <c r="Q431" s="11" t="str">
        <f t="shared" si="9"/>
        <v>cobertura correcta</v>
      </c>
      <c r="R431" s="12"/>
      <c r="S431" s="8"/>
      <c r="T431" s="12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5.75" customHeight="1">
      <c r="A432" s="5" t="s">
        <v>856</v>
      </c>
      <c r="B432" s="6" t="s">
        <v>857</v>
      </c>
      <c r="C432" s="6">
        <f t="shared" si="1"/>
        <v>7934</v>
      </c>
      <c r="D432" s="6">
        <f t="shared" si="42"/>
        <v>18</v>
      </c>
      <c r="E432" s="7">
        <v>0.0</v>
      </c>
      <c r="F432" s="8"/>
      <c r="G432" s="6">
        <f t="shared" si="3"/>
        <v>5985</v>
      </c>
      <c r="H432" s="6">
        <f t="shared" si="4"/>
        <v>10897</v>
      </c>
      <c r="I432" s="6">
        <f t="shared" si="5"/>
        <v>28000</v>
      </c>
      <c r="J432" s="6">
        <f t="shared" si="6"/>
        <v>55741</v>
      </c>
      <c r="K432" s="9"/>
      <c r="L432" s="9"/>
      <c r="M432" s="9"/>
      <c r="N432" s="9">
        <f t="shared" si="7"/>
        <v>7.025586085</v>
      </c>
      <c r="O432" s="10">
        <f t="shared" si="8"/>
        <v>39.76942356</v>
      </c>
      <c r="P432" s="9">
        <v>30.0</v>
      </c>
      <c r="Q432" s="11" t="str">
        <f t="shared" si="9"/>
        <v>cobertura correcta</v>
      </c>
      <c r="R432" s="12"/>
      <c r="S432" s="8"/>
      <c r="T432" s="12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5.75" customHeight="1">
      <c r="A433" s="5" t="s">
        <v>858</v>
      </c>
      <c r="B433" s="6" t="s">
        <v>859</v>
      </c>
      <c r="C433" s="6">
        <f t="shared" si="1"/>
        <v>6034</v>
      </c>
      <c r="D433" s="6">
        <f t="shared" si="42"/>
        <v>99</v>
      </c>
      <c r="E433" s="7">
        <v>0.0</v>
      </c>
      <c r="F433" s="8"/>
      <c r="G433" s="6">
        <f t="shared" si="3"/>
        <v>4925</v>
      </c>
      <c r="H433" s="6">
        <f t="shared" si="4"/>
        <v>17796</v>
      </c>
      <c r="I433" s="6">
        <f t="shared" si="5"/>
        <v>22346</v>
      </c>
      <c r="J433" s="6">
        <f t="shared" si="6"/>
        <v>41155</v>
      </c>
      <c r="K433" s="9"/>
      <c r="L433" s="9"/>
      <c r="M433" s="9"/>
      <c r="N433" s="9">
        <f t="shared" si="7"/>
        <v>6.82051707</v>
      </c>
      <c r="O433" s="10">
        <f t="shared" si="8"/>
        <v>36.75532995</v>
      </c>
      <c r="P433" s="9">
        <v>30.0</v>
      </c>
      <c r="Q433" s="11" t="str">
        <f t="shared" si="9"/>
        <v>cobertura correcta</v>
      </c>
      <c r="R433" s="12"/>
      <c r="S433" s="8"/>
      <c r="T433" s="12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5.75" customHeight="1">
      <c r="A434" s="5" t="s">
        <v>860</v>
      </c>
      <c r="B434" s="6" t="s">
        <v>861</v>
      </c>
      <c r="C434" s="6">
        <f t="shared" si="1"/>
        <v>3364</v>
      </c>
      <c r="D434" s="6">
        <f t="shared" si="42"/>
        <v>160</v>
      </c>
      <c r="E434" s="7">
        <v>0.0</v>
      </c>
      <c r="F434" s="8"/>
      <c r="G434" s="6">
        <f t="shared" si="3"/>
        <v>5592</v>
      </c>
      <c r="H434" s="6">
        <f t="shared" si="4"/>
        <v>14630</v>
      </c>
      <c r="I434" s="6">
        <f t="shared" si="5"/>
        <v>19935</v>
      </c>
      <c r="J434" s="6">
        <f t="shared" si="6"/>
        <v>70364</v>
      </c>
      <c r="K434" s="9"/>
      <c r="L434" s="9"/>
      <c r="M434" s="9"/>
      <c r="N434" s="9">
        <f t="shared" si="7"/>
        <v>20.91676576</v>
      </c>
      <c r="O434" s="10">
        <f t="shared" si="8"/>
        <v>18.0472103</v>
      </c>
      <c r="P434" s="9">
        <v>30.0</v>
      </c>
      <c r="Q434" s="11" t="str">
        <f t="shared" si="9"/>
        <v>¡Compra YA!</v>
      </c>
      <c r="R434" s="12"/>
      <c r="S434" s="8"/>
      <c r="T434" s="12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5.75" customHeight="1">
      <c r="A435" s="5" t="s">
        <v>862</v>
      </c>
      <c r="B435" s="6" t="s">
        <v>863</v>
      </c>
      <c r="C435" s="6">
        <f t="shared" si="1"/>
        <v>2900</v>
      </c>
      <c r="D435" s="6">
        <f t="shared" si="42"/>
        <v>179</v>
      </c>
      <c r="E435" s="7">
        <v>0.0</v>
      </c>
      <c r="F435" s="8"/>
      <c r="G435" s="6">
        <f t="shared" si="3"/>
        <v>4669</v>
      </c>
      <c r="H435" s="6">
        <f t="shared" si="4"/>
        <v>14546</v>
      </c>
      <c r="I435" s="6">
        <f t="shared" si="5"/>
        <v>19832</v>
      </c>
      <c r="J435" s="6">
        <f t="shared" si="6"/>
        <v>53631</v>
      </c>
      <c r="K435" s="9"/>
      <c r="L435" s="9"/>
      <c r="M435" s="9"/>
      <c r="N435" s="9">
        <f t="shared" si="7"/>
        <v>18.49344828</v>
      </c>
      <c r="O435" s="10">
        <f t="shared" si="8"/>
        <v>18.63354037</v>
      </c>
      <c r="P435" s="9">
        <v>30.0</v>
      </c>
      <c r="Q435" s="11" t="str">
        <f t="shared" si="9"/>
        <v>¡Compra YA!</v>
      </c>
      <c r="R435" s="12"/>
      <c r="S435" s="8"/>
      <c r="T435" s="12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5.75" customHeight="1">
      <c r="A436" s="5" t="s">
        <v>864</v>
      </c>
      <c r="B436" s="6" t="s">
        <v>865</v>
      </c>
      <c r="C436" s="6">
        <f t="shared" si="1"/>
        <v>6202</v>
      </c>
      <c r="D436" s="6">
        <f t="shared" si="42"/>
        <v>38</v>
      </c>
      <c r="E436" s="7">
        <v>0.0</v>
      </c>
      <c r="F436" s="8"/>
      <c r="G436" s="6">
        <f t="shared" si="3"/>
        <v>3380</v>
      </c>
      <c r="H436" s="6">
        <f t="shared" si="4"/>
        <v>10608</v>
      </c>
      <c r="I436" s="6">
        <f t="shared" si="5"/>
        <v>22291</v>
      </c>
      <c r="J436" s="6">
        <f t="shared" si="6"/>
        <v>75853</v>
      </c>
      <c r="K436" s="9"/>
      <c r="L436" s="9"/>
      <c r="M436" s="9"/>
      <c r="N436" s="9">
        <f t="shared" si="7"/>
        <v>12.23040955</v>
      </c>
      <c r="O436" s="10">
        <f t="shared" si="8"/>
        <v>55.04733728</v>
      </c>
      <c r="P436" s="9">
        <v>30.0</v>
      </c>
      <c r="Q436" s="11" t="str">
        <f t="shared" si="9"/>
        <v>cobertura correcta</v>
      </c>
      <c r="R436" s="12"/>
      <c r="S436" s="8"/>
      <c r="T436" s="12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5.75" customHeight="1">
      <c r="A437" s="5" t="s">
        <v>866</v>
      </c>
      <c r="B437" s="6" t="s">
        <v>867</v>
      </c>
      <c r="C437" s="6">
        <f t="shared" si="1"/>
        <v>3890</v>
      </c>
      <c r="D437" s="6">
        <f t="shared" si="42"/>
        <v>170</v>
      </c>
      <c r="E437" s="7">
        <v>0.0</v>
      </c>
      <c r="F437" s="8"/>
      <c r="G437" s="6">
        <f t="shared" si="3"/>
        <v>7321</v>
      </c>
      <c r="H437" s="6">
        <f t="shared" si="4"/>
        <v>14589</v>
      </c>
      <c r="I437" s="6">
        <f t="shared" si="5"/>
        <v>26278</v>
      </c>
      <c r="J437" s="6">
        <f t="shared" si="6"/>
        <v>84813</v>
      </c>
      <c r="K437" s="9"/>
      <c r="L437" s="9"/>
      <c r="M437" s="9"/>
      <c r="N437" s="9">
        <f t="shared" si="7"/>
        <v>21.80282776</v>
      </c>
      <c r="O437" s="10">
        <f t="shared" si="8"/>
        <v>15.94044529</v>
      </c>
      <c r="P437" s="9">
        <v>30.0</v>
      </c>
      <c r="Q437" s="11" t="str">
        <f t="shared" si="9"/>
        <v>¡Compra YA!</v>
      </c>
      <c r="R437" s="12"/>
      <c r="S437" s="8"/>
      <c r="T437" s="12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5.75" customHeight="1">
      <c r="A438" s="5" t="s">
        <v>868</v>
      </c>
      <c r="B438" s="6" t="s">
        <v>869</v>
      </c>
      <c r="C438" s="6">
        <f t="shared" si="1"/>
        <v>4217</v>
      </c>
      <c r="D438" s="6">
        <f t="shared" si="42"/>
        <v>75</v>
      </c>
      <c r="E438" s="7">
        <v>0.0</v>
      </c>
      <c r="F438" s="8"/>
      <c r="G438" s="6">
        <f t="shared" si="3"/>
        <v>7741</v>
      </c>
      <c r="H438" s="6">
        <f t="shared" si="4"/>
        <v>12756</v>
      </c>
      <c r="I438" s="6">
        <f t="shared" si="5"/>
        <v>27501</v>
      </c>
      <c r="J438" s="6">
        <f t="shared" si="6"/>
        <v>68983</v>
      </c>
      <c r="K438" s="9"/>
      <c r="L438" s="9"/>
      <c r="M438" s="9"/>
      <c r="N438" s="9">
        <f t="shared" si="7"/>
        <v>16.3583116</v>
      </c>
      <c r="O438" s="10">
        <f t="shared" si="8"/>
        <v>16.34284976</v>
      </c>
      <c r="P438" s="9">
        <v>30.0</v>
      </c>
      <c r="Q438" s="11" t="str">
        <f t="shared" si="9"/>
        <v>¡Compra YA!</v>
      </c>
      <c r="R438" s="12"/>
      <c r="S438" s="8"/>
      <c r="T438" s="12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5.75" customHeight="1">
      <c r="A439" s="5" t="s">
        <v>870</v>
      </c>
      <c r="B439" s="6" t="s">
        <v>871</v>
      </c>
      <c r="C439" s="6">
        <f t="shared" si="1"/>
        <v>3320</v>
      </c>
      <c r="D439" s="6">
        <f t="shared" si="42"/>
        <v>159</v>
      </c>
      <c r="E439" s="7">
        <v>0.0</v>
      </c>
      <c r="F439" s="8"/>
      <c r="G439" s="6">
        <f t="shared" si="3"/>
        <v>6024</v>
      </c>
      <c r="H439" s="6">
        <f t="shared" si="4"/>
        <v>10244</v>
      </c>
      <c r="I439" s="6">
        <f t="shared" si="5"/>
        <v>19171</v>
      </c>
      <c r="J439" s="6">
        <f t="shared" si="6"/>
        <v>95865</v>
      </c>
      <c r="K439" s="9"/>
      <c r="L439" s="9"/>
      <c r="M439" s="9"/>
      <c r="N439" s="9">
        <f t="shared" si="7"/>
        <v>28.875</v>
      </c>
      <c r="O439" s="10">
        <f t="shared" si="8"/>
        <v>16.53386454</v>
      </c>
      <c r="P439" s="9">
        <v>30.0</v>
      </c>
      <c r="Q439" s="11" t="str">
        <f t="shared" si="9"/>
        <v>¡Compra YA!</v>
      </c>
      <c r="R439" s="12"/>
      <c r="S439" s="8"/>
      <c r="T439" s="12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5.75" customHeight="1">
      <c r="A440" s="5" t="s">
        <v>872</v>
      </c>
      <c r="B440" s="6" t="s">
        <v>873</v>
      </c>
      <c r="C440" s="6">
        <f t="shared" si="1"/>
        <v>3328</v>
      </c>
      <c r="D440" s="6">
        <f t="shared" si="42"/>
        <v>63</v>
      </c>
      <c r="E440" s="7">
        <v>0.0</v>
      </c>
      <c r="F440" s="8"/>
      <c r="G440" s="6">
        <f t="shared" si="3"/>
        <v>5152</v>
      </c>
      <c r="H440" s="6">
        <f t="shared" si="4"/>
        <v>14968</v>
      </c>
      <c r="I440" s="6">
        <f t="shared" si="5"/>
        <v>20016</v>
      </c>
      <c r="J440" s="6">
        <f t="shared" si="6"/>
        <v>56745</v>
      </c>
      <c r="K440" s="9"/>
      <c r="L440" s="9"/>
      <c r="M440" s="9"/>
      <c r="N440" s="9">
        <f t="shared" si="7"/>
        <v>17.05078125</v>
      </c>
      <c r="O440" s="10">
        <f t="shared" si="8"/>
        <v>19.37888199</v>
      </c>
      <c r="P440" s="9">
        <v>30.0</v>
      </c>
      <c r="Q440" s="11" t="str">
        <f t="shared" si="9"/>
        <v>¡Compra YA!</v>
      </c>
      <c r="R440" s="12"/>
      <c r="S440" s="8"/>
      <c r="T440" s="12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5.75" customHeight="1">
      <c r="A441" s="5" t="s">
        <v>874</v>
      </c>
      <c r="B441" s="6" t="s">
        <v>875</v>
      </c>
      <c r="C441" s="6">
        <f t="shared" si="1"/>
        <v>7170</v>
      </c>
      <c r="D441" s="6">
        <f t="shared" si="42"/>
        <v>23</v>
      </c>
      <c r="E441" s="7">
        <v>0.0</v>
      </c>
      <c r="F441" s="8"/>
      <c r="G441" s="6">
        <f t="shared" si="3"/>
        <v>6015</v>
      </c>
      <c r="H441" s="6">
        <f t="shared" si="4"/>
        <v>9366</v>
      </c>
      <c r="I441" s="6">
        <f t="shared" si="5"/>
        <v>24594</v>
      </c>
      <c r="J441" s="6">
        <f t="shared" si="6"/>
        <v>47560</v>
      </c>
      <c r="K441" s="9"/>
      <c r="L441" s="9"/>
      <c r="M441" s="9"/>
      <c r="N441" s="9">
        <f t="shared" si="7"/>
        <v>6.633193863</v>
      </c>
      <c r="O441" s="10">
        <f t="shared" si="8"/>
        <v>35.7605985</v>
      </c>
      <c r="P441" s="9">
        <v>30.0</v>
      </c>
      <c r="Q441" s="11" t="str">
        <f t="shared" si="9"/>
        <v>cobertura correcta</v>
      </c>
      <c r="R441" s="12"/>
      <c r="S441" s="8"/>
      <c r="T441" s="12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5.75" customHeight="1">
      <c r="A442" s="5" t="s">
        <v>876</v>
      </c>
      <c r="B442" s="6" t="s">
        <v>877</v>
      </c>
      <c r="C442" s="6">
        <f t="shared" si="1"/>
        <v>2158</v>
      </c>
      <c r="D442" s="6">
        <f t="shared" si="42"/>
        <v>98</v>
      </c>
      <c r="E442" s="7">
        <v>0.0</v>
      </c>
      <c r="F442" s="8"/>
      <c r="G442" s="6">
        <f t="shared" si="3"/>
        <v>5771</v>
      </c>
      <c r="H442" s="6">
        <f t="shared" si="4"/>
        <v>11721</v>
      </c>
      <c r="I442" s="6">
        <f t="shared" si="5"/>
        <v>28377</v>
      </c>
      <c r="J442" s="6">
        <f t="shared" si="6"/>
        <v>50451</v>
      </c>
      <c r="K442" s="9"/>
      <c r="L442" s="9"/>
      <c r="M442" s="9"/>
      <c r="N442" s="9">
        <f t="shared" si="7"/>
        <v>23.37859129</v>
      </c>
      <c r="O442" s="10">
        <f t="shared" si="8"/>
        <v>11.21815976</v>
      </c>
      <c r="P442" s="9">
        <v>30.0</v>
      </c>
      <c r="Q442" s="11" t="str">
        <f t="shared" si="9"/>
        <v>¡Compra YA!</v>
      </c>
      <c r="R442" s="12"/>
      <c r="S442" s="8"/>
      <c r="T442" s="12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5.75" customHeight="1">
      <c r="A443" s="5" t="s">
        <v>878</v>
      </c>
      <c r="B443" s="6"/>
      <c r="C443" s="6">
        <f t="shared" si="1"/>
        <v>1411</v>
      </c>
      <c r="D443" s="6">
        <f t="shared" si="42"/>
        <v>10</v>
      </c>
      <c r="E443" s="7">
        <v>0.0</v>
      </c>
      <c r="F443" s="8"/>
      <c r="G443" s="6">
        <f t="shared" si="3"/>
        <v>5459</v>
      </c>
      <c r="H443" s="6">
        <f t="shared" si="4"/>
        <v>14263</v>
      </c>
      <c r="I443" s="6">
        <f t="shared" si="5"/>
        <v>23124</v>
      </c>
      <c r="J443" s="6">
        <f t="shared" si="6"/>
        <v>85294</v>
      </c>
      <c r="K443" s="9"/>
      <c r="L443" s="9"/>
      <c r="M443" s="9"/>
      <c r="N443" s="9">
        <f t="shared" si="7"/>
        <v>60.44932672</v>
      </c>
      <c r="O443" s="10">
        <f t="shared" si="8"/>
        <v>7.75416743</v>
      </c>
      <c r="P443" s="9">
        <v>30.0</v>
      </c>
      <c r="Q443" s="11" t="str">
        <f t="shared" si="9"/>
        <v>¡Compra YA!</v>
      </c>
      <c r="R443" s="12"/>
      <c r="S443" s="8"/>
      <c r="T443" s="12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5.75" customHeight="1">
      <c r="A444" s="5" t="s">
        <v>879</v>
      </c>
      <c r="B444" s="6" t="s">
        <v>880</v>
      </c>
      <c r="C444" s="6">
        <f t="shared" si="1"/>
        <v>2385</v>
      </c>
      <c r="D444" s="6">
        <f t="shared" si="42"/>
        <v>140</v>
      </c>
      <c r="E444" s="7">
        <v>0.0</v>
      </c>
      <c r="F444" s="8"/>
      <c r="G444" s="6">
        <f t="shared" si="3"/>
        <v>1623</v>
      </c>
      <c r="H444" s="6">
        <f t="shared" si="4"/>
        <v>13120</v>
      </c>
      <c r="I444" s="6">
        <f t="shared" si="5"/>
        <v>23218</v>
      </c>
      <c r="J444" s="6">
        <f t="shared" si="6"/>
        <v>43914</v>
      </c>
      <c r="K444" s="9"/>
      <c r="L444" s="9"/>
      <c r="M444" s="9"/>
      <c r="N444" s="9">
        <f t="shared" si="7"/>
        <v>18.41257862</v>
      </c>
      <c r="O444" s="10">
        <f t="shared" si="8"/>
        <v>44.08502773</v>
      </c>
      <c r="P444" s="9">
        <v>30.0</v>
      </c>
      <c r="Q444" s="11" t="str">
        <f t="shared" si="9"/>
        <v>cobertura correcta</v>
      </c>
      <c r="R444" s="12"/>
      <c r="S444" s="8"/>
      <c r="T444" s="12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5.75" customHeight="1">
      <c r="A445" s="5" t="s">
        <v>881</v>
      </c>
      <c r="B445" s="6" t="s">
        <v>882</v>
      </c>
      <c r="C445" s="6">
        <f t="shared" si="1"/>
        <v>5774</v>
      </c>
      <c r="D445" s="6">
        <f t="shared" si="42"/>
        <v>161</v>
      </c>
      <c r="E445" s="7">
        <v>0.0</v>
      </c>
      <c r="F445" s="8"/>
      <c r="G445" s="6">
        <f t="shared" si="3"/>
        <v>3040</v>
      </c>
      <c r="H445" s="6">
        <f t="shared" si="4"/>
        <v>16215</v>
      </c>
      <c r="I445" s="6">
        <f t="shared" si="5"/>
        <v>27296</v>
      </c>
      <c r="J445" s="6">
        <f t="shared" si="6"/>
        <v>30488</v>
      </c>
      <c r="K445" s="9"/>
      <c r="L445" s="9"/>
      <c r="M445" s="9"/>
      <c r="N445" s="9">
        <f t="shared" si="7"/>
        <v>5.280221683</v>
      </c>
      <c r="O445" s="10">
        <f t="shared" si="8"/>
        <v>56.98026316</v>
      </c>
      <c r="P445" s="9">
        <v>30.0</v>
      </c>
      <c r="Q445" s="11" t="str">
        <f t="shared" si="9"/>
        <v>cobertura correcta</v>
      </c>
      <c r="R445" s="12"/>
      <c r="S445" s="8"/>
      <c r="T445" s="12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5.75" customHeight="1">
      <c r="A446" s="5" t="s">
        <v>883</v>
      </c>
      <c r="B446" s="6" t="s">
        <v>884</v>
      </c>
      <c r="C446" s="6">
        <f t="shared" si="1"/>
        <v>8153</v>
      </c>
      <c r="D446" s="6">
        <f t="shared" si="42"/>
        <v>49</v>
      </c>
      <c r="E446" s="7">
        <v>0.0</v>
      </c>
      <c r="F446" s="8"/>
      <c r="G446" s="6">
        <f t="shared" si="3"/>
        <v>4750</v>
      </c>
      <c r="H446" s="6">
        <f t="shared" si="4"/>
        <v>16772</v>
      </c>
      <c r="I446" s="6">
        <f t="shared" si="5"/>
        <v>27228</v>
      </c>
      <c r="J446" s="6">
        <f t="shared" si="6"/>
        <v>33700</v>
      </c>
      <c r="K446" s="9"/>
      <c r="L446" s="9"/>
      <c r="M446" s="9"/>
      <c r="N446" s="9">
        <f t="shared" si="7"/>
        <v>4.133447811</v>
      </c>
      <c r="O446" s="10">
        <f t="shared" si="8"/>
        <v>51.49263158</v>
      </c>
      <c r="P446" s="9">
        <v>30.0</v>
      </c>
      <c r="Q446" s="11" t="str">
        <f t="shared" si="9"/>
        <v>cobertura correcta</v>
      </c>
      <c r="R446" s="12"/>
      <c r="S446" s="8"/>
      <c r="T446" s="12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5.75" customHeight="1">
      <c r="A447" s="5" t="s">
        <v>885</v>
      </c>
      <c r="B447" s="6" t="s">
        <v>886</v>
      </c>
      <c r="C447" s="6">
        <f t="shared" si="1"/>
        <v>5670</v>
      </c>
      <c r="D447" s="6">
        <f t="shared" si="42"/>
        <v>85</v>
      </c>
      <c r="E447" s="7">
        <v>0.0</v>
      </c>
      <c r="F447" s="8"/>
      <c r="G447" s="6">
        <f t="shared" si="3"/>
        <v>4636</v>
      </c>
      <c r="H447" s="6">
        <f t="shared" si="4"/>
        <v>13493</v>
      </c>
      <c r="I447" s="6">
        <f t="shared" si="5"/>
        <v>27933</v>
      </c>
      <c r="J447" s="6">
        <f t="shared" si="6"/>
        <v>63526</v>
      </c>
      <c r="K447" s="9"/>
      <c r="L447" s="9"/>
      <c r="M447" s="9"/>
      <c r="N447" s="9">
        <f t="shared" si="7"/>
        <v>11.20388007</v>
      </c>
      <c r="O447" s="10">
        <f t="shared" si="8"/>
        <v>36.69111303</v>
      </c>
      <c r="P447" s="9">
        <v>30.0</v>
      </c>
      <c r="Q447" s="11" t="str">
        <f t="shared" si="9"/>
        <v>cobertura correcta</v>
      </c>
      <c r="R447" s="12"/>
      <c r="S447" s="8"/>
      <c r="T447" s="12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5.75" customHeight="1">
      <c r="A448" s="5" t="s">
        <v>887</v>
      </c>
      <c r="B448" s="6" t="s">
        <v>888</v>
      </c>
      <c r="C448" s="6">
        <f t="shared" si="1"/>
        <v>7458</v>
      </c>
      <c r="D448" s="6">
        <f t="shared" si="42"/>
        <v>71</v>
      </c>
      <c r="E448" s="7">
        <v>0.0</v>
      </c>
      <c r="F448" s="8"/>
      <c r="G448" s="6">
        <f t="shared" si="3"/>
        <v>5683</v>
      </c>
      <c r="H448" s="6">
        <f t="shared" si="4"/>
        <v>14816</v>
      </c>
      <c r="I448" s="6">
        <f t="shared" si="5"/>
        <v>28230</v>
      </c>
      <c r="J448" s="6">
        <f t="shared" si="6"/>
        <v>81900</v>
      </c>
      <c r="K448" s="9"/>
      <c r="L448" s="9"/>
      <c r="M448" s="9"/>
      <c r="N448" s="9">
        <f t="shared" si="7"/>
        <v>10.98149638</v>
      </c>
      <c r="O448" s="10">
        <f t="shared" si="8"/>
        <v>39.37005103</v>
      </c>
      <c r="P448" s="9">
        <v>30.0</v>
      </c>
      <c r="Q448" s="11" t="str">
        <f t="shared" si="9"/>
        <v>cobertura correcta</v>
      </c>
      <c r="R448" s="12"/>
      <c r="S448" s="8"/>
      <c r="T448" s="12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5.75" customHeight="1">
      <c r="A449" s="5" t="s">
        <v>889</v>
      </c>
      <c r="B449" s="6" t="s">
        <v>890</v>
      </c>
      <c r="C449" s="6">
        <f t="shared" si="1"/>
        <v>5546</v>
      </c>
      <c r="D449" s="6">
        <f t="shared" si="42"/>
        <v>110</v>
      </c>
      <c r="E449" s="7">
        <v>0.0</v>
      </c>
      <c r="F449" s="8"/>
      <c r="G449" s="6">
        <f t="shared" si="3"/>
        <v>3067</v>
      </c>
      <c r="H449" s="6">
        <f t="shared" si="4"/>
        <v>15639</v>
      </c>
      <c r="I449" s="6">
        <f t="shared" si="5"/>
        <v>24627</v>
      </c>
      <c r="J449" s="6">
        <f t="shared" si="6"/>
        <v>77682</v>
      </c>
      <c r="K449" s="9"/>
      <c r="L449" s="9"/>
      <c r="M449" s="9"/>
      <c r="N449" s="9">
        <f t="shared" si="7"/>
        <v>14.00685179</v>
      </c>
      <c r="O449" s="10">
        <f t="shared" si="8"/>
        <v>54.24845126</v>
      </c>
      <c r="P449" s="9">
        <v>30.0</v>
      </c>
      <c r="Q449" s="11" t="str">
        <f t="shared" si="9"/>
        <v>cobertura correcta</v>
      </c>
      <c r="R449" s="12"/>
      <c r="S449" s="8"/>
      <c r="T449" s="12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5.75" customHeight="1">
      <c r="A450" s="5" t="s">
        <v>891</v>
      </c>
      <c r="B450" s="6" t="s">
        <v>892</v>
      </c>
      <c r="C450" s="6">
        <f t="shared" si="1"/>
        <v>7023</v>
      </c>
      <c r="D450" s="6">
        <f t="shared" si="42"/>
        <v>114</v>
      </c>
      <c r="E450" s="7">
        <v>0.0</v>
      </c>
      <c r="F450" s="8"/>
      <c r="G450" s="6">
        <f t="shared" si="3"/>
        <v>5858</v>
      </c>
      <c r="H450" s="6">
        <f t="shared" si="4"/>
        <v>12246</v>
      </c>
      <c r="I450" s="6">
        <f t="shared" si="5"/>
        <v>20108</v>
      </c>
      <c r="J450" s="6">
        <f t="shared" si="6"/>
        <v>74926</v>
      </c>
      <c r="K450" s="9"/>
      <c r="L450" s="9"/>
      <c r="M450" s="9"/>
      <c r="N450" s="9">
        <f t="shared" si="7"/>
        <v>10.66866012</v>
      </c>
      <c r="O450" s="10">
        <f t="shared" si="8"/>
        <v>35.96620007</v>
      </c>
      <c r="P450" s="9">
        <v>30.0</v>
      </c>
      <c r="Q450" s="11" t="str">
        <f t="shared" si="9"/>
        <v>cobertura correcta</v>
      </c>
      <c r="R450" s="12"/>
      <c r="S450" s="8"/>
      <c r="T450" s="12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5.75" customHeight="1">
      <c r="A451" s="5" t="s">
        <v>893</v>
      </c>
      <c r="B451" s="6" t="s">
        <v>894</v>
      </c>
      <c r="C451" s="6">
        <f t="shared" si="1"/>
        <v>6554</v>
      </c>
      <c r="D451" s="6">
        <f t="shared" si="42"/>
        <v>61</v>
      </c>
      <c r="E451" s="7">
        <v>0.0</v>
      </c>
      <c r="F451" s="8"/>
      <c r="G451" s="6">
        <f t="shared" si="3"/>
        <v>8946</v>
      </c>
      <c r="H451" s="6">
        <f t="shared" si="4"/>
        <v>14566</v>
      </c>
      <c r="I451" s="6">
        <f t="shared" si="5"/>
        <v>24335</v>
      </c>
      <c r="J451" s="6">
        <f t="shared" si="6"/>
        <v>36504</v>
      </c>
      <c r="K451" s="9"/>
      <c r="L451" s="9"/>
      <c r="M451" s="9"/>
      <c r="N451" s="9">
        <f t="shared" si="7"/>
        <v>5.56972841</v>
      </c>
      <c r="O451" s="10">
        <f t="shared" si="8"/>
        <v>21.97853789</v>
      </c>
      <c r="P451" s="9">
        <v>30.0</v>
      </c>
      <c r="Q451" s="11" t="str">
        <f t="shared" si="9"/>
        <v>¡Compra YA!</v>
      </c>
      <c r="R451" s="12"/>
      <c r="S451" s="8"/>
      <c r="T451" s="12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5.75" customHeight="1">
      <c r="A452" s="5" t="s">
        <v>895</v>
      </c>
      <c r="B452" s="6" t="s">
        <v>896</v>
      </c>
      <c r="C452" s="6">
        <f t="shared" si="1"/>
        <v>6435</v>
      </c>
      <c r="D452" s="6">
        <f t="shared" si="42"/>
        <v>147</v>
      </c>
      <c r="E452" s="7">
        <v>0.0</v>
      </c>
      <c r="F452" s="8"/>
      <c r="G452" s="6">
        <f t="shared" si="3"/>
        <v>7439</v>
      </c>
      <c r="H452" s="6">
        <f t="shared" si="4"/>
        <v>11278</v>
      </c>
      <c r="I452" s="6">
        <f t="shared" si="5"/>
        <v>23640</v>
      </c>
      <c r="J452" s="6">
        <f t="shared" si="6"/>
        <v>53126</v>
      </c>
      <c r="K452" s="9"/>
      <c r="L452" s="9"/>
      <c r="M452" s="9"/>
      <c r="N452" s="9">
        <f t="shared" si="7"/>
        <v>8.255788656</v>
      </c>
      <c r="O452" s="10">
        <f t="shared" si="8"/>
        <v>25.95106869</v>
      </c>
      <c r="P452" s="9">
        <v>30.0</v>
      </c>
      <c r="Q452" s="11" t="str">
        <f t="shared" si="9"/>
        <v>¡Compra YA!</v>
      </c>
      <c r="R452" s="12"/>
      <c r="S452" s="8"/>
      <c r="T452" s="12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5.75" customHeight="1">
      <c r="A453" s="5" t="s">
        <v>897</v>
      </c>
      <c r="B453" s="6" t="s">
        <v>898</v>
      </c>
      <c r="C453" s="6">
        <f t="shared" si="1"/>
        <v>8146</v>
      </c>
      <c r="D453" s="6">
        <f t="shared" si="42"/>
        <v>128</v>
      </c>
      <c r="E453" s="7">
        <v>0.0</v>
      </c>
      <c r="F453" s="8"/>
      <c r="G453" s="6">
        <f t="shared" si="3"/>
        <v>1919</v>
      </c>
      <c r="H453" s="6">
        <f t="shared" si="4"/>
        <v>9113</v>
      </c>
      <c r="I453" s="6">
        <f t="shared" si="5"/>
        <v>23883</v>
      </c>
      <c r="J453" s="6">
        <f t="shared" si="6"/>
        <v>54167</v>
      </c>
      <c r="K453" s="9"/>
      <c r="L453" s="9"/>
      <c r="M453" s="9"/>
      <c r="N453" s="9">
        <f t="shared" si="7"/>
        <v>6.649521237</v>
      </c>
      <c r="O453" s="10">
        <f t="shared" si="8"/>
        <v>127.3475769</v>
      </c>
      <c r="P453" s="9">
        <v>30.0</v>
      </c>
      <c r="Q453" s="11" t="str">
        <f t="shared" si="9"/>
        <v>cobertura correcta</v>
      </c>
      <c r="R453" s="12"/>
      <c r="S453" s="8"/>
      <c r="T453" s="12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5.75" customHeight="1">
      <c r="A454" s="5" t="s">
        <v>899</v>
      </c>
      <c r="B454" s="6"/>
      <c r="C454" s="6">
        <f t="shared" si="1"/>
        <v>8973</v>
      </c>
      <c r="D454" s="6">
        <f t="shared" si="42"/>
        <v>4</v>
      </c>
      <c r="E454" s="7">
        <v>0.0</v>
      </c>
      <c r="F454" s="8"/>
      <c r="G454" s="6">
        <f t="shared" si="3"/>
        <v>2467</v>
      </c>
      <c r="H454" s="6">
        <f t="shared" si="4"/>
        <v>15703</v>
      </c>
      <c r="I454" s="6">
        <f t="shared" si="5"/>
        <v>23181</v>
      </c>
      <c r="J454" s="6">
        <f t="shared" si="6"/>
        <v>75929</v>
      </c>
      <c r="K454" s="9"/>
      <c r="L454" s="9"/>
      <c r="M454" s="9"/>
      <c r="N454" s="9">
        <f t="shared" si="7"/>
        <v>8.46194138</v>
      </c>
      <c r="O454" s="10">
        <f t="shared" si="8"/>
        <v>109.1163356</v>
      </c>
      <c r="P454" s="9">
        <v>30.0</v>
      </c>
      <c r="Q454" s="11" t="str">
        <f t="shared" si="9"/>
        <v>cobertura correcta</v>
      </c>
      <c r="R454" s="12"/>
      <c r="S454" s="8"/>
      <c r="T454" s="12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5.75" customHeight="1">
      <c r="A455" s="5" t="s">
        <v>900</v>
      </c>
      <c r="B455" s="6" t="s">
        <v>901</v>
      </c>
      <c r="C455" s="6">
        <f t="shared" si="1"/>
        <v>8613</v>
      </c>
      <c r="D455" s="6">
        <f t="shared" si="42"/>
        <v>94</v>
      </c>
      <c r="E455" s="7">
        <v>0.0</v>
      </c>
      <c r="F455" s="8"/>
      <c r="G455" s="6">
        <f t="shared" si="3"/>
        <v>3695</v>
      </c>
      <c r="H455" s="6">
        <f t="shared" si="4"/>
        <v>11251</v>
      </c>
      <c r="I455" s="6">
        <f t="shared" si="5"/>
        <v>28153</v>
      </c>
      <c r="J455" s="6">
        <f t="shared" si="6"/>
        <v>86870</v>
      </c>
      <c r="K455" s="9"/>
      <c r="L455" s="9"/>
      <c r="M455" s="9"/>
      <c r="N455" s="9">
        <f t="shared" si="7"/>
        <v>10.08591664</v>
      </c>
      <c r="O455" s="10">
        <f t="shared" si="8"/>
        <v>69.92963464</v>
      </c>
      <c r="P455" s="9">
        <v>30.0</v>
      </c>
      <c r="Q455" s="11" t="str">
        <f t="shared" si="9"/>
        <v>cobertura correcta</v>
      </c>
      <c r="R455" s="12"/>
      <c r="S455" s="8"/>
      <c r="T455" s="12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5.75" customHeight="1">
      <c r="A456" s="5" t="s">
        <v>902</v>
      </c>
      <c r="B456" s="6" t="s">
        <v>903</v>
      </c>
      <c r="C456" s="6">
        <f t="shared" si="1"/>
        <v>3601</v>
      </c>
      <c r="D456" s="6">
        <f t="shared" si="42"/>
        <v>116</v>
      </c>
      <c r="E456" s="7">
        <v>0.0</v>
      </c>
      <c r="F456" s="8"/>
      <c r="G456" s="6">
        <f t="shared" si="3"/>
        <v>7847</v>
      </c>
      <c r="H456" s="6">
        <f t="shared" si="4"/>
        <v>11886</v>
      </c>
      <c r="I456" s="6">
        <f t="shared" si="5"/>
        <v>27756</v>
      </c>
      <c r="J456" s="6">
        <f t="shared" si="6"/>
        <v>86880</v>
      </c>
      <c r="K456" s="9"/>
      <c r="L456" s="9"/>
      <c r="M456" s="9"/>
      <c r="N456" s="9">
        <f t="shared" si="7"/>
        <v>24.12663149</v>
      </c>
      <c r="O456" s="10">
        <f t="shared" si="8"/>
        <v>13.76704473</v>
      </c>
      <c r="P456" s="9">
        <v>30.0</v>
      </c>
      <c r="Q456" s="11" t="str">
        <f t="shared" si="9"/>
        <v>¡Compra YA!</v>
      </c>
      <c r="R456" s="12"/>
      <c r="S456" s="8"/>
      <c r="T456" s="12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5.75" customHeight="1">
      <c r="A457" s="5" t="s">
        <v>904</v>
      </c>
      <c r="B457" s="6" t="s">
        <v>905</v>
      </c>
      <c r="C457" s="6">
        <f t="shared" si="1"/>
        <v>2842</v>
      </c>
      <c r="D457" s="6">
        <f t="shared" si="42"/>
        <v>10</v>
      </c>
      <c r="E457" s="7">
        <v>0.0</v>
      </c>
      <c r="F457" s="8"/>
      <c r="G457" s="6">
        <f t="shared" si="3"/>
        <v>7240</v>
      </c>
      <c r="H457" s="6">
        <f t="shared" si="4"/>
        <v>11170</v>
      </c>
      <c r="I457" s="6">
        <f t="shared" si="5"/>
        <v>27297</v>
      </c>
      <c r="J457" s="6">
        <f t="shared" si="6"/>
        <v>29902</v>
      </c>
      <c r="K457" s="9"/>
      <c r="L457" s="9"/>
      <c r="M457" s="9"/>
      <c r="N457" s="9">
        <f t="shared" si="7"/>
        <v>10.52146376</v>
      </c>
      <c r="O457" s="10">
        <f t="shared" si="8"/>
        <v>11.77624309</v>
      </c>
      <c r="P457" s="9">
        <v>30.0</v>
      </c>
      <c r="Q457" s="11" t="str">
        <f t="shared" si="9"/>
        <v>¡Compra YA!</v>
      </c>
      <c r="R457" s="12"/>
      <c r="S457" s="8"/>
      <c r="T457" s="12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5.75" customHeight="1">
      <c r="A458" s="5" t="s">
        <v>906</v>
      </c>
      <c r="B458" s="6" t="s">
        <v>907</v>
      </c>
      <c r="C458" s="6">
        <f t="shared" si="1"/>
        <v>7938</v>
      </c>
      <c r="D458" s="6">
        <f t="shared" si="42"/>
        <v>20</v>
      </c>
      <c r="E458" s="7">
        <v>0.0</v>
      </c>
      <c r="F458" s="8"/>
      <c r="G458" s="6">
        <f t="shared" si="3"/>
        <v>4690</v>
      </c>
      <c r="H458" s="6">
        <f t="shared" si="4"/>
        <v>18191</v>
      </c>
      <c r="I458" s="6">
        <f t="shared" si="5"/>
        <v>20458</v>
      </c>
      <c r="J458" s="6">
        <f t="shared" si="6"/>
        <v>61062</v>
      </c>
      <c r="K458" s="9"/>
      <c r="L458" s="9"/>
      <c r="M458" s="9"/>
      <c r="N458" s="9">
        <f t="shared" si="7"/>
        <v>7.692365835</v>
      </c>
      <c r="O458" s="10">
        <f t="shared" si="8"/>
        <v>50.7761194</v>
      </c>
      <c r="P458" s="9">
        <v>30.0</v>
      </c>
      <c r="Q458" s="11" t="str">
        <f t="shared" si="9"/>
        <v>cobertura correcta</v>
      </c>
      <c r="R458" s="12"/>
      <c r="S458" s="8"/>
      <c r="T458" s="12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5.75" customHeight="1">
      <c r="A459" s="5" t="s">
        <v>908</v>
      </c>
      <c r="B459" s="6" t="s">
        <v>909</v>
      </c>
      <c r="C459" s="6">
        <f t="shared" si="1"/>
        <v>5657</v>
      </c>
      <c r="D459" s="6">
        <f t="shared" si="42"/>
        <v>170</v>
      </c>
      <c r="E459" s="7">
        <v>0.0</v>
      </c>
      <c r="F459" s="8"/>
      <c r="G459" s="6">
        <f t="shared" si="3"/>
        <v>3389</v>
      </c>
      <c r="H459" s="6">
        <f t="shared" si="4"/>
        <v>13760</v>
      </c>
      <c r="I459" s="6">
        <f t="shared" si="5"/>
        <v>28500</v>
      </c>
      <c r="J459" s="6">
        <f t="shared" si="6"/>
        <v>42667</v>
      </c>
      <c r="K459" s="9"/>
      <c r="L459" s="9"/>
      <c r="M459" s="9"/>
      <c r="N459" s="9">
        <f t="shared" si="7"/>
        <v>7.542336928</v>
      </c>
      <c r="O459" s="10">
        <f t="shared" si="8"/>
        <v>50.0767188</v>
      </c>
      <c r="P459" s="9">
        <v>30.0</v>
      </c>
      <c r="Q459" s="11" t="str">
        <f t="shared" si="9"/>
        <v>cobertura correcta</v>
      </c>
      <c r="R459" s="12"/>
      <c r="S459" s="8"/>
      <c r="T459" s="12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5.75" customHeight="1">
      <c r="A460" s="5" t="s">
        <v>910</v>
      </c>
      <c r="B460" s="6" t="s">
        <v>911</v>
      </c>
      <c r="C460" s="6">
        <f t="shared" si="1"/>
        <v>6987</v>
      </c>
      <c r="D460" s="6">
        <f t="shared" si="42"/>
        <v>168</v>
      </c>
      <c r="E460" s="7">
        <v>0.0</v>
      </c>
      <c r="F460" s="8"/>
      <c r="G460" s="6">
        <f t="shared" si="3"/>
        <v>6830</v>
      </c>
      <c r="H460" s="6">
        <f t="shared" si="4"/>
        <v>9147</v>
      </c>
      <c r="I460" s="6">
        <f t="shared" si="5"/>
        <v>27134</v>
      </c>
      <c r="J460" s="6">
        <f t="shared" si="6"/>
        <v>68626</v>
      </c>
      <c r="K460" s="9"/>
      <c r="L460" s="9"/>
      <c r="M460" s="9"/>
      <c r="N460" s="9">
        <f t="shared" si="7"/>
        <v>9.821955059</v>
      </c>
      <c r="O460" s="10">
        <f t="shared" si="8"/>
        <v>30.68960469</v>
      </c>
      <c r="P460" s="9">
        <v>30.0</v>
      </c>
      <c r="Q460" s="11" t="str">
        <f t="shared" si="9"/>
        <v>cobertura correcta</v>
      </c>
      <c r="R460" s="12"/>
      <c r="S460" s="8"/>
      <c r="T460" s="12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5.75" customHeight="1">
      <c r="A461" s="5" t="s">
        <v>912</v>
      </c>
      <c r="B461" s="6" t="s">
        <v>913</v>
      </c>
      <c r="C461" s="6">
        <f t="shared" si="1"/>
        <v>4371</v>
      </c>
      <c r="D461" s="6">
        <f t="shared" si="42"/>
        <v>197</v>
      </c>
      <c r="E461" s="7">
        <v>0.0</v>
      </c>
      <c r="F461" s="8"/>
      <c r="G461" s="6">
        <f t="shared" si="3"/>
        <v>2033</v>
      </c>
      <c r="H461" s="6">
        <f t="shared" si="4"/>
        <v>18939</v>
      </c>
      <c r="I461" s="6">
        <f t="shared" si="5"/>
        <v>21181</v>
      </c>
      <c r="J461" s="6">
        <f t="shared" si="6"/>
        <v>40353</v>
      </c>
      <c r="K461" s="9"/>
      <c r="L461" s="9"/>
      <c r="M461" s="9"/>
      <c r="N461" s="9">
        <f t="shared" si="7"/>
        <v>9.231983528</v>
      </c>
      <c r="O461" s="10">
        <f t="shared" si="8"/>
        <v>64.50073783</v>
      </c>
      <c r="P461" s="9">
        <v>30.0</v>
      </c>
      <c r="Q461" s="11" t="str">
        <f t="shared" si="9"/>
        <v>cobertura correcta</v>
      </c>
      <c r="R461" s="12"/>
      <c r="S461" s="8"/>
      <c r="T461" s="12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5.75" customHeight="1">
      <c r="A462" s="5" t="s">
        <v>914</v>
      </c>
      <c r="B462" s="6" t="s">
        <v>915</v>
      </c>
      <c r="C462" s="6">
        <f t="shared" si="1"/>
        <v>1152</v>
      </c>
      <c r="D462" s="6">
        <f t="shared" si="42"/>
        <v>150</v>
      </c>
      <c r="E462" s="7">
        <v>0.0</v>
      </c>
      <c r="F462" s="8"/>
      <c r="G462" s="6">
        <f t="shared" si="3"/>
        <v>2302</v>
      </c>
      <c r="H462" s="6">
        <f t="shared" si="4"/>
        <v>12558</v>
      </c>
      <c r="I462" s="6">
        <f t="shared" si="5"/>
        <v>19589</v>
      </c>
      <c r="J462" s="6">
        <f t="shared" si="6"/>
        <v>79638</v>
      </c>
      <c r="K462" s="9"/>
      <c r="L462" s="9"/>
      <c r="M462" s="9"/>
      <c r="N462" s="9">
        <f t="shared" si="7"/>
        <v>69.13020833</v>
      </c>
      <c r="O462" s="10">
        <f t="shared" si="8"/>
        <v>15.01303215</v>
      </c>
      <c r="P462" s="9">
        <v>30.0</v>
      </c>
      <c r="Q462" s="11" t="str">
        <f t="shared" si="9"/>
        <v>¡Compra YA!</v>
      </c>
      <c r="R462" s="12"/>
      <c r="S462" s="8"/>
      <c r="T462" s="12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5.75" customHeight="1">
      <c r="A463" s="5" t="s">
        <v>916</v>
      </c>
      <c r="B463" s="6" t="s">
        <v>917</v>
      </c>
      <c r="C463" s="6">
        <f t="shared" si="1"/>
        <v>4803</v>
      </c>
      <c r="D463" s="6">
        <f t="shared" si="42"/>
        <v>11</v>
      </c>
      <c r="E463" s="7">
        <v>0.0</v>
      </c>
      <c r="F463" s="8"/>
      <c r="G463" s="6">
        <f t="shared" si="3"/>
        <v>2202</v>
      </c>
      <c r="H463" s="6">
        <f t="shared" si="4"/>
        <v>13403</v>
      </c>
      <c r="I463" s="6">
        <f t="shared" si="5"/>
        <v>28162</v>
      </c>
      <c r="J463" s="6">
        <f t="shared" si="6"/>
        <v>35127</v>
      </c>
      <c r="K463" s="9"/>
      <c r="L463" s="9"/>
      <c r="M463" s="9"/>
      <c r="N463" s="9">
        <f t="shared" si="7"/>
        <v>7.313554029</v>
      </c>
      <c r="O463" s="10">
        <f t="shared" si="8"/>
        <v>65.4359673</v>
      </c>
      <c r="P463" s="9">
        <v>30.0</v>
      </c>
      <c r="Q463" s="11" t="str">
        <f t="shared" si="9"/>
        <v>cobertura correcta</v>
      </c>
      <c r="R463" s="12"/>
      <c r="S463" s="8"/>
      <c r="T463" s="12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5.75" customHeight="1">
      <c r="A464" s="5" t="s">
        <v>918</v>
      </c>
      <c r="B464" s="6" t="s">
        <v>919</v>
      </c>
      <c r="C464" s="6">
        <f t="shared" si="1"/>
        <v>8075</v>
      </c>
      <c r="D464" s="6">
        <f t="shared" si="42"/>
        <v>15</v>
      </c>
      <c r="E464" s="7">
        <v>0.0</v>
      </c>
      <c r="F464" s="8"/>
      <c r="G464" s="6">
        <f t="shared" si="3"/>
        <v>3440</v>
      </c>
      <c r="H464" s="6">
        <f t="shared" si="4"/>
        <v>18030</v>
      </c>
      <c r="I464" s="6">
        <f t="shared" si="5"/>
        <v>25564</v>
      </c>
      <c r="J464" s="6">
        <f t="shared" si="6"/>
        <v>35256</v>
      </c>
      <c r="K464" s="9"/>
      <c r="L464" s="9"/>
      <c r="M464" s="9"/>
      <c r="N464" s="9">
        <f t="shared" si="7"/>
        <v>4.366068111</v>
      </c>
      <c r="O464" s="10">
        <f t="shared" si="8"/>
        <v>70.42151163</v>
      </c>
      <c r="P464" s="9">
        <v>30.0</v>
      </c>
      <c r="Q464" s="11" t="str">
        <f t="shared" si="9"/>
        <v>cobertura correcta</v>
      </c>
      <c r="R464" s="12"/>
      <c r="S464" s="8"/>
      <c r="T464" s="12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5.75" customHeight="1">
      <c r="A465" s="5" t="s">
        <v>920</v>
      </c>
      <c r="B465" s="6" t="s">
        <v>921</v>
      </c>
      <c r="C465" s="6">
        <f t="shared" si="1"/>
        <v>8700</v>
      </c>
      <c r="D465" s="6">
        <f t="shared" si="42"/>
        <v>14</v>
      </c>
      <c r="E465" s="7">
        <v>0.0</v>
      </c>
      <c r="F465" s="8"/>
      <c r="G465" s="6">
        <f t="shared" si="3"/>
        <v>6448</v>
      </c>
      <c r="H465" s="6">
        <f t="shared" si="4"/>
        <v>16547</v>
      </c>
      <c r="I465" s="6">
        <f t="shared" si="5"/>
        <v>28742</v>
      </c>
      <c r="J465" s="6">
        <f t="shared" si="6"/>
        <v>90076</v>
      </c>
      <c r="K465" s="9"/>
      <c r="L465" s="9"/>
      <c r="M465" s="9"/>
      <c r="N465" s="9">
        <f t="shared" si="7"/>
        <v>10.35356322</v>
      </c>
      <c r="O465" s="10">
        <f t="shared" si="8"/>
        <v>40.47766749</v>
      </c>
      <c r="P465" s="9">
        <v>30.0</v>
      </c>
      <c r="Q465" s="11" t="str">
        <f t="shared" si="9"/>
        <v>cobertura correcta</v>
      </c>
      <c r="R465" s="12"/>
      <c r="S465" s="8"/>
      <c r="T465" s="12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5.75" customHeight="1">
      <c r="A466" s="5" t="s">
        <v>922</v>
      </c>
      <c r="B466" s="6" t="s">
        <v>923</v>
      </c>
      <c r="C466" s="6">
        <f t="shared" si="1"/>
        <v>5593</v>
      </c>
      <c r="D466" s="6">
        <f t="shared" si="42"/>
        <v>160</v>
      </c>
      <c r="E466" s="7">
        <v>0.0</v>
      </c>
      <c r="F466" s="8"/>
      <c r="G466" s="6">
        <f t="shared" si="3"/>
        <v>5622</v>
      </c>
      <c r="H466" s="6">
        <f t="shared" si="4"/>
        <v>11108</v>
      </c>
      <c r="I466" s="6">
        <f t="shared" si="5"/>
        <v>24550</v>
      </c>
      <c r="J466" s="6">
        <f t="shared" si="6"/>
        <v>33956</v>
      </c>
      <c r="K466" s="9"/>
      <c r="L466" s="9"/>
      <c r="M466" s="9"/>
      <c r="N466" s="9">
        <f t="shared" si="7"/>
        <v>6.071160379</v>
      </c>
      <c r="O466" s="10">
        <f t="shared" si="8"/>
        <v>29.8452508</v>
      </c>
      <c r="P466" s="9">
        <v>30.0</v>
      </c>
      <c r="Q466" s="11" t="str">
        <f t="shared" si="9"/>
        <v>¡Compra YA!</v>
      </c>
      <c r="R466" s="12"/>
      <c r="S466" s="8"/>
      <c r="T466" s="12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5.75" customHeight="1">
      <c r="A467" s="5" t="s">
        <v>924</v>
      </c>
      <c r="B467" s="6" t="s">
        <v>925</v>
      </c>
      <c r="C467" s="6">
        <f t="shared" si="1"/>
        <v>4581</v>
      </c>
      <c r="D467" s="6">
        <f t="shared" si="42"/>
        <v>138</v>
      </c>
      <c r="E467" s="7">
        <v>0.0</v>
      </c>
      <c r="F467" s="8"/>
      <c r="G467" s="6">
        <f t="shared" si="3"/>
        <v>3076</v>
      </c>
      <c r="H467" s="6">
        <f t="shared" si="4"/>
        <v>10586</v>
      </c>
      <c r="I467" s="6">
        <f t="shared" si="5"/>
        <v>26195</v>
      </c>
      <c r="J467" s="6">
        <f t="shared" si="6"/>
        <v>90892</v>
      </c>
      <c r="K467" s="9"/>
      <c r="L467" s="9"/>
      <c r="M467" s="9"/>
      <c r="N467" s="9">
        <f t="shared" si="7"/>
        <v>19.84108273</v>
      </c>
      <c r="O467" s="10">
        <f t="shared" si="8"/>
        <v>44.67815345</v>
      </c>
      <c r="P467" s="9">
        <v>30.0</v>
      </c>
      <c r="Q467" s="11" t="str">
        <f t="shared" si="9"/>
        <v>cobertura correcta</v>
      </c>
      <c r="R467" s="12"/>
      <c r="S467" s="8"/>
      <c r="T467" s="12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5.75" customHeight="1">
      <c r="A468" s="5" t="s">
        <v>926</v>
      </c>
      <c r="B468" s="6" t="s">
        <v>927</v>
      </c>
      <c r="C468" s="6">
        <f t="shared" si="1"/>
        <v>7416</v>
      </c>
      <c r="D468" s="6">
        <f t="shared" si="42"/>
        <v>160</v>
      </c>
      <c r="E468" s="7">
        <v>0.0</v>
      </c>
      <c r="F468" s="8"/>
      <c r="G468" s="6">
        <f t="shared" si="3"/>
        <v>1021</v>
      </c>
      <c r="H468" s="6">
        <f t="shared" si="4"/>
        <v>13466</v>
      </c>
      <c r="I468" s="6">
        <f t="shared" si="5"/>
        <v>27208</v>
      </c>
      <c r="J468" s="6">
        <f t="shared" si="6"/>
        <v>50618</v>
      </c>
      <c r="K468" s="9"/>
      <c r="L468" s="9"/>
      <c r="M468" s="9"/>
      <c r="N468" s="9">
        <f t="shared" si="7"/>
        <v>6.825512406</v>
      </c>
      <c r="O468" s="10">
        <f t="shared" si="8"/>
        <v>217.9040157</v>
      </c>
      <c r="P468" s="9">
        <v>30.0</v>
      </c>
      <c r="Q468" s="11" t="str">
        <f t="shared" si="9"/>
        <v>cobertura correcta</v>
      </c>
      <c r="R468" s="12"/>
      <c r="S468" s="8"/>
      <c r="T468" s="12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5.75" customHeight="1">
      <c r="A469" s="5" t="s">
        <v>928</v>
      </c>
      <c r="B469" s="6" t="s">
        <v>929</v>
      </c>
      <c r="C469" s="6">
        <f t="shared" si="1"/>
        <v>5530</v>
      </c>
      <c r="D469" s="6">
        <f t="shared" si="42"/>
        <v>163</v>
      </c>
      <c r="E469" s="7">
        <v>0.0</v>
      </c>
      <c r="F469" s="8"/>
      <c r="G469" s="6">
        <f t="shared" si="3"/>
        <v>1065</v>
      </c>
      <c r="H469" s="6">
        <f t="shared" si="4"/>
        <v>15833</v>
      </c>
      <c r="I469" s="6">
        <f t="shared" si="5"/>
        <v>20273</v>
      </c>
      <c r="J469" s="6">
        <f t="shared" si="6"/>
        <v>52580</v>
      </c>
      <c r="K469" s="9"/>
      <c r="L469" s="9"/>
      <c r="M469" s="9"/>
      <c r="N469" s="9">
        <f t="shared" si="7"/>
        <v>9.508137432</v>
      </c>
      <c r="O469" s="10">
        <f t="shared" si="8"/>
        <v>155.7746479</v>
      </c>
      <c r="P469" s="9">
        <v>30.0</v>
      </c>
      <c r="Q469" s="11" t="str">
        <f t="shared" si="9"/>
        <v>cobertura correcta</v>
      </c>
      <c r="R469" s="12"/>
      <c r="S469" s="8"/>
      <c r="T469" s="12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5.75" customHeight="1">
      <c r="A470" s="5" t="s">
        <v>930</v>
      </c>
      <c r="B470" s="6" t="s">
        <v>931</v>
      </c>
      <c r="C470" s="6">
        <f t="shared" si="1"/>
        <v>3504</v>
      </c>
      <c r="D470" s="6">
        <f t="shared" si="42"/>
        <v>59</v>
      </c>
      <c r="E470" s="7">
        <v>0.0</v>
      </c>
      <c r="F470" s="8"/>
      <c r="G470" s="6">
        <f t="shared" si="3"/>
        <v>2932</v>
      </c>
      <c r="H470" s="6">
        <f t="shared" si="4"/>
        <v>12402</v>
      </c>
      <c r="I470" s="6">
        <f t="shared" si="5"/>
        <v>25437</v>
      </c>
      <c r="J470" s="6">
        <f t="shared" si="6"/>
        <v>64859</v>
      </c>
      <c r="K470" s="9"/>
      <c r="L470" s="9"/>
      <c r="M470" s="9"/>
      <c r="N470" s="9">
        <f t="shared" si="7"/>
        <v>18.50998858</v>
      </c>
      <c r="O470" s="10">
        <f t="shared" si="8"/>
        <v>35.8526603</v>
      </c>
      <c r="P470" s="9">
        <v>30.0</v>
      </c>
      <c r="Q470" s="11" t="str">
        <f t="shared" si="9"/>
        <v>cobertura correcta</v>
      </c>
      <c r="R470" s="12"/>
      <c r="S470" s="8"/>
      <c r="T470" s="12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5.75" customHeight="1">
      <c r="A471" s="5" t="s">
        <v>932</v>
      </c>
      <c r="B471" s="6" t="s">
        <v>933</v>
      </c>
      <c r="C471" s="6">
        <f t="shared" si="1"/>
        <v>8896</v>
      </c>
      <c r="D471" s="6">
        <f t="shared" si="42"/>
        <v>130</v>
      </c>
      <c r="E471" s="7">
        <v>0.0</v>
      </c>
      <c r="F471" s="8"/>
      <c r="G471" s="6">
        <f t="shared" si="3"/>
        <v>3398</v>
      </c>
      <c r="H471" s="6">
        <f t="shared" si="4"/>
        <v>10197</v>
      </c>
      <c r="I471" s="6">
        <f t="shared" si="5"/>
        <v>22389</v>
      </c>
      <c r="J471" s="6">
        <f t="shared" si="6"/>
        <v>62565</v>
      </c>
      <c r="K471" s="9"/>
      <c r="L471" s="9"/>
      <c r="M471" s="9"/>
      <c r="N471" s="9">
        <f t="shared" si="7"/>
        <v>7.032936151</v>
      </c>
      <c r="O471" s="10">
        <f t="shared" si="8"/>
        <v>78.54031783</v>
      </c>
      <c r="P471" s="9">
        <v>30.0</v>
      </c>
      <c r="Q471" s="11" t="str">
        <f t="shared" si="9"/>
        <v>cobertura correcta</v>
      </c>
      <c r="R471" s="12"/>
      <c r="S471" s="8"/>
      <c r="T471" s="12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5.75" customHeight="1">
      <c r="A472" s="5" t="s">
        <v>934</v>
      </c>
      <c r="B472" s="6" t="s">
        <v>935</v>
      </c>
      <c r="C472" s="6">
        <f t="shared" si="1"/>
        <v>6838</v>
      </c>
      <c r="D472" s="6">
        <f t="shared" si="42"/>
        <v>80</v>
      </c>
      <c r="E472" s="7">
        <v>0.0</v>
      </c>
      <c r="F472" s="8"/>
      <c r="G472" s="6">
        <f t="shared" si="3"/>
        <v>2890</v>
      </c>
      <c r="H472" s="6">
        <f t="shared" si="4"/>
        <v>11591</v>
      </c>
      <c r="I472" s="6">
        <f t="shared" si="5"/>
        <v>28508</v>
      </c>
      <c r="J472" s="6">
        <f t="shared" si="6"/>
        <v>67886</v>
      </c>
      <c r="K472" s="9"/>
      <c r="L472" s="9"/>
      <c r="M472" s="9"/>
      <c r="N472" s="9">
        <f t="shared" si="7"/>
        <v>9.927756654</v>
      </c>
      <c r="O472" s="10">
        <f t="shared" si="8"/>
        <v>70.98269896</v>
      </c>
      <c r="P472" s="9">
        <v>30.0</v>
      </c>
      <c r="Q472" s="11" t="str">
        <f t="shared" si="9"/>
        <v>cobertura correcta</v>
      </c>
      <c r="R472" s="12"/>
      <c r="S472" s="8"/>
      <c r="T472" s="12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5.75" customHeight="1">
      <c r="A473" s="5" t="s">
        <v>936</v>
      </c>
      <c r="B473" s="6" t="s">
        <v>937</v>
      </c>
      <c r="C473" s="6">
        <f t="shared" si="1"/>
        <v>2598</v>
      </c>
      <c r="D473" s="6">
        <f t="shared" si="42"/>
        <v>37</v>
      </c>
      <c r="E473" s="7">
        <v>0.0</v>
      </c>
      <c r="F473" s="8"/>
      <c r="G473" s="6">
        <f t="shared" si="3"/>
        <v>6157</v>
      </c>
      <c r="H473" s="6">
        <f t="shared" si="4"/>
        <v>15376</v>
      </c>
      <c r="I473" s="6">
        <f t="shared" si="5"/>
        <v>24832</v>
      </c>
      <c r="J473" s="6">
        <f t="shared" si="6"/>
        <v>87488</v>
      </c>
      <c r="K473" s="9"/>
      <c r="L473" s="9"/>
      <c r="M473" s="9"/>
      <c r="N473" s="9">
        <f t="shared" si="7"/>
        <v>33.67513472</v>
      </c>
      <c r="O473" s="10">
        <f t="shared" si="8"/>
        <v>12.65876238</v>
      </c>
      <c r="P473" s="9">
        <v>30.0</v>
      </c>
      <c r="Q473" s="11" t="str">
        <f t="shared" si="9"/>
        <v>¡Compra YA!</v>
      </c>
      <c r="R473" s="12"/>
      <c r="S473" s="8"/>
      <c r="T473" s="12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5.75" customHeight="1">
      <c r="A474" s="5" t="s">
        <v>938</v>
      </c>
      <c r="B474" s="6" t="s">
        <v>939</v>
      </c>
      <c r="C474" s="6">
        <f t="shared" si="1"/>
        <v>1014</v>
      </c>
      <c r="D474" s="6">
        <f t="shared" si="42"/>
        <v>88</v>
      </c>
      <c r="E474" s="7">
        <v>0.0</v>
      </c>
      <c r="F474" s="8"/>
      <c r="G474" s="6">
        <f t="shared" si="3"/>
        <v>1264</v>
      </c>
      <c r="H474" s="6">
        <f t="shared" si="4"/>
        <v>14559</v>
      </c>
      <c r="I474" s="6">
        <f t="shared" si="5"/>
        <v>28546</v>
      </c>
      <c r="J474" s="6">
        <f t="shared" si="6"/>
        <v>36898</v>
      </c>
      <c r="K474" s="9"/>
      <c r="L474" s="9"/>
      <c r="M474" s="9"/>
      <c r="N474" s="9">
        <f t="shared" si="7"/>
        <v>36.38856016</v>
      </c>
      <c r="O474" s="10">
        <f t="shared" si="8"/>
        <v>24.0664557</v>
      </c>
      <c r="P474" s="9">
        <v>30.0</v>
      </c>
      <c r="Q474" s="11" t="str">
        <f t="shared" si="9"/>
        <v>¡Compra YA!</v>
      </c>
      <c r="R474" s="12"/>
      <c r="S474" s="8"/>
      <c r="T474" s="12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5.75" customHeight="1">
      <c r="A475" s="5" t="s">
        <v>940</v>
      </c>
      <c r="B475" s="6" t="s">
        <v>941</v>
      </c>
      <c r="C475" s="6">
        <f t="shared" si="1"/>
        <v>8461</v>
      </c>
      <c r="D475" s="6">
        <f t="shared" si="42"/>
        <v>27</v>
      </c>
      <c r="E475" s="7">
        <v>0.0</v>
      </c>
      <c r="F475" s="8"/>
      <c r="G475" s="6">
        <f t="shared" si="3"/>
        <v>2996</v>
      </c>
      <c r="H475" s="6">
        <f t="shared" si="4"/>
        <v>16019</v>
      </c>
      <c r="I475" s="6">
        <f t="shared" si="5"/>
        <v>26866</v>
      </c>
      <c r="J475" s="6">
        <f t="shared" si="6"/>
        <v>65983</v>
      </c>
      <c r="K475" s="9"/>
      <c r="L475" s="9"/>
      <c r="M475" s="9"/>
      <c r="N475" s="9">
        <f t="shared" si="7"/>
        <v>7.798487176</v>
      </c>
      <c r="O475" s="10">
        <f t="shared" si="8"/>
        <v>84.72296395</v>
      </c>
      <c r="P475" s="9">
        <v>30.0</v>
      </c>
      <c r="Q475" s="11" t="str">
        <f t="shared" si="9"/>
        <v>cobertura correcta</v>
      </c>
      <c r="R475" s="12"/>
      <c r="S475" s="8"/>
      <c r="T475" s="12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5.75" customHeight="1">
      <c r="A476" s="5" t="s">
        <v>942</v>
      </c>
      <c r="B476" s="6" t="s">
        <v>943</v>
      </c>
      <c r="C476" s="6">
        <f t="shared" si="1"/>
        <v>7347</v>
      </c>
      <c r="D476" s="6">
        <f t="shared" si="42"/>
        <v>78</v>
      </c>
      <c r="E476" s="7">
        <v>0.0</v>
      </c>
      <c r="F476" s="8"/>
      <c r="G476" s="6">
        <f t="shared" si="3"/>
        <v>1945</v>
      </c>
      <c r="H476" s="6">
        <f t="shared" si="4"/>
        <v>16106</v>
      </c>
      <c r="I476" s="6">
        <f t="shared" si="5"/>
        <v>20978</v>
      </c>
      <c r="J476" s="6">
        <f t="shared" si="6"/>
        <v>91023</v>
      </c>
      <c r="K476" s="9"/>
      <c r="L476" s="9"/>
      <c r="M476" s="9"/>
      <c r="N476" s="9">
        <f t="shared" si="7"/>
        <v>12.38913842</v>
      </c>
      <c r="O476" s="10">
        <f t="shared" si="8"/>
        <v>113.3213368</v>
      </c>
      <c r="P476" s="9">
        <v>30.0</v>
      </c>
      <c r="Q476" s="11" t="str">
        <f t="shared" si="9"/>
        <v>cobertura correcta</v>
      </c>
      <c r="R476" s="12"/>
      <c r="S476" s="8"/>
      <c r="T476" s="12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5.75" customHeight="1">
      <c r="A477" s="5" t="s">
        <v>944</v>
      </c>
      <c r="B477" s="6" t="s">
        <v>945</v>
      </c>
      <c r="C477" s="6">
        <f t="shared" si="1"/>
        <v>6298</v>
      </c>
      <c r="D477" s="6">
        <f t="shared" si="42"/>
        <v>43</v>
      </c>
      <c r="E477" s="7">
        <v>0.0</v>
      </c>
      <c r="F477" s="8"/>
      <c r="G477" s="6">
        <f t="shared" si="3"/>
        <v>1757</v>
      </c>
      <c r="H477" s="6">
        <f t="shared" si="4"/>
        <v>17059</v>
      </c>
      <c r="I477" s="6">
        <f t="shared" si="5"/>
        <v>26860</v>
      </c>
      <c r="J477" s="6">
        <f t="shared" si="6"/>
        <v>94700</v>
      </c>
      <c r="K477" s="9"/>
      <c r="L477" s="9"/>
      <c r="M477" s="9"/>
      <c r="N477" s="9">
        <f t="shared" si="7"/>
        <v>15.03651953</v>
      </c>
      <c r="O477" s="10">
        <f t="shared" si="8"/>
        <v>107.535572</v>
      </c>
      <c r="P477" s="9">
        <v>30.0</v>
      </c>
      <c r="Q477" s="11" t="str">
        <f t="shared" si="9"/>
        <v>cobertura correcta</v>
      </c>
      <c r="R477" s="12"/>
      <c r="S477" s="8"/>
      <c r="T477" s="12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5.75" customHeight="1">
      <c r="A478" s="5" t="s">
        <v>946</v>
      </c>
      <c r="B478" s="6" t="s">
        <v>947</v>
      </c>
      <c r="C478" s="6">
        <f t="shared" si="1"/>
        <v>2854</v>
      </c>
      <c r="D478" s="6">
        <f t="shared" si="42"/>
        <v>145</v>
      </c>
      <c r="E478" s="7">
        <v>0.0</v>
      </c>
      <c r="F478" s="8"/>
      <c r="G478" s="6">
        <f t="shared" si="3"/>
        <v>2793</v>
      </c>
      <c r="H478" s="6">
        <f t="shared" si="4"/>
        <v>9004</v>
      </c>
      <c r="I478" s="6">
        <f t="shared" si="5"/>
        <v>24385</v>
      </c>
      <c r="J478" s="6">
        <f t="shared" si="6"/>
        <v>63852</v>
      </c>
      <c r="K478" s="9"/>
      <c r="L478" s="9"/>
      <c r="M478" s="9"/>
      <c r="N478" s="9">
        <f t="shared" si="7"/>
        <v>22.37281009</v>
      </c>
      <c r="O478" s="10">
        <f t="shared" si="8"/>
        <v>30.65520945</v>
      </c>
      <c r="P478" s="9">
        <v>30.0</v>
      </c>
      <c r="Q478" s="11" t="str">
        <f t="shared" si="9"/>
        <v>cobertura correcta</v>
      </c>
      <c r="R478" s="12"/>
      <c r="S478" s="8"/>
      <c r="T478" s="12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5.75" customHeight="1">
      <c r="A479" s="5" t="s">
        <v>948</v>
      </c>
      <c r="B479" s="6" t="s">
        <v>949</v>
      </c>
      <c r="C479" s="6">
        <f t="shared" si="1"/>
        <v>8472</v>
      </c>
      <c r="D479" s="6">
        <f t="shared" si="42"/>
        <v>147</v>
      </c>
      <c r="E479" s="7">
        <v>0.0</v>
      </c>
      <c r="F479" s="8"/>
      <c r="G479" s="6">
        <f t="shared" si="3"/>
        <v>7247</v>
      </c>
      <c r="H479" s="6">
        <f t="shared" si="4"/>
        <v>15059</v>
      </c>
      <c r="I479" s="6">
        <f t="shared" si="5"/>
        <v>25808</v>
      </c>
      <c r="J479" s="6">
        <f t="shared" si="6"/>
        <v>82990</v>
      </c>
      <c r="K479" s="9"/>
      <c r="L479" s="9"/>
      <c r="M479" s="9"/>
      <c r="N479" s="9">
        <f t="shared" si="7"/>
        <v>9.795797923</v>
      </c>
      <c r="O479" s="10">
        <f t="shared" si="8"/>
        <v>35.07106389</v>
      </c>
      <c r="P479" s="9">
        <v>30.0</v>
      </c>
      <c r="Q479" s="11" t="str">
        <f t="shared" si="9"/>
        <v>cobertura correcta</v>
      </c>
      <c r="R479" s="12"/>
      <c r="S479" s="8"/>
      <c r="T479" s="12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5.75" customHeight="1">
      <c r="A480" s="5" t="s">
        <v>950</v>
      </c>
      <c r="B480" s="6" t="s">
        <v>951</v>
      </c>
      <c r="C480" s="6">
        <f t="shared" si="1"/>
        <v>5516</v>
      </c>
      <c r="D480" s="6">
        <f t="shared" si="42"/>
        <v>95</v>
      </c>
      <c r="E480" s="7">
        <v>0.0</v>
      </c>
      <c r="F480" s="8"/>
      <c r="G480" s="6">
        <f t="shared" si="3"/>
        <v>2665</v>
      </c>
      <c r="H480" s="6">
        <f t="shared" si="4"/>
        <v>11056</v>
      </c>
      <c r="I480" s="6">
        <f t="shared" si="5"/>
        <v>20976</v>
      </c>
      <c r="J480" s="6">
        <f t="shared" si="6"/>
        <v>46620</v>
      </c>
      <c r="K480" s="9"/>
      <c r="L480" s="9"/>
      <c r="M480" s="9"/>
      <c r="N480" s="9">
        <f t="shared" si="7"/>
        <v>8.45177665</v>
      </c>
      <c r="O480" s="10">
        <f t="shared" si="8"/>
        <v>62.09380863</v>
      </c>
      <c r="P480" s="9">
        <v>30.0</v>
      </c>
      <c r="Q480" s="11" t="str">
        <f t="shared" si="9"/>
        <v>cobertura correcta</v>
      </c>
      <c r="R480" s="12"/>
      <c r="S480" s="8"/>
      <c r="T480" s="12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5.75" customHeight="1">
      <c r="A481" s="5" t="s">
        <v>952</v>
      </c>
      <c r="B481" s="6" t="s">
        <v>953</v>
      </c>
      <c r="C481" s="6">
        <f t="shared" si="1"/>
        <v>1895</v>
      </c>
      <c r="D481" s="6">
        <f t="shared" si="42"/>
        <v>177</v>
      </c>
      <c r="E481" s="7">
        <v>0.0</v>
      </c>
      <c r="F481" s="8"/>
      <c r="G481" s="6">
        <f t="shared" si="3"/>
        <v>7079</v>
      </c>
      <c r="H481" s="6">
        <f t="shared" si="4"/>
        <v>13067</v>
      </c>
      <c r="I481" s="6">
        <f t="shared" si="5"/>
        <v>19760</v>
      </c>
      <c r="J481" s="6">
        <f t="shared" si="6"/>
        <v>94953</v>
      </c>
      <c r="K481" s="9"/>
      <c r="L481" s="9"/>
      <c r="M481" s="9"/>
      <c r="N481" s="9">
        <f t="shared" si="7"/>
        <v>50.10712401</v>
      </c>
      <c r="O481" s="10">
        <f t="shared" si="8"/>
        <v>8.03079531</v>
      </c>
      <c r="P481" s="9">
        <v>30.0</v>
      </c>
      <c r="Q481" s="11" t="str">
        <f t="shared" si="9"/>
        <v>¡Compra YA!</v>
      </c>
      <c r="R481" s="12"/>
      <c r="S481" s="8"/>
      <c r="T481" s="12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5.75" customHeight="1">
      <c r="A482" s="5" t="s">
        <v>954</v>
      </c>
      <c r="B482" s="6" t="s">
        <v>955</v>
      </c>
      <c r="C482" s="6">
        <f t="shared" si="1"/>
        <v>4519</v>
      </c>
      <c r="D482" s="6">
        <f t="shared" si="42"/>
        <v>163</v>
      </c>
      <c r="E482" s="7">
        <v>0.0</v>
      </c>
      <c r="F482" s="8"/>
      <c r="G482" s="6">
        <f t="shared" si="3"/>
        <v>3895</v>
      </c>
      <c r="H482" s="6">
        <f t="shared" si="4"/>
        <v>14314</v>
      </c>
      <c r="I482" s="6">
        <f t="shared" si="5"/>
        <v>27351</v>
      </c>
      <c r="J482" s="6">
        <f t="shared" si="6"/>
        <v>92343</v>
      </c>
      <c r="K482" s="9"/>
      <c r="L482" s="9"/>
      <c r="M482" s="9"/>
      <c r="N482" s="9">
        <f t="shared" si="7"/>
        <v>20.43438814</v>
      </c>
      <c r="O482" s="10">
        <f t="shared" si="8"/>
        <v>34.80616175</v>
      </c>
      <c r="P482" s="9">
        <v>30.0</v>
      </c>
      <c r="Q482" s="11" t="str">
        <f t="shared" si="9"/>
        <v>cobertura correcta</v>
      </c>
      <c r="R482" s="12"/>
      <c r="S482" s="8"/>
      <c r="T482" s="12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5.75" customHeight="1">
      <c r="A483" s="5" t="s">
        <v>956</v>
      </c>
      <c r="B483" s="6" t="s">
        <v>957</v>
      </c>
      <c r="C483" s="6">
        <f t="shared" si="1"/>
        <v>1587</v>
      </c>
      <c r="D483" s="6">
        <f t="shared" si="42"/>
        <v>105</v>
      </c>
      <c r="E483" s="7">
        <v>0.0</v>
      </c>
      <c r="F483" s="8"/>
      <c r="G483" s="6">
        <f t="shared" si="3"/>
        <v>8355</v>
      </c>
      <c r="H483" s="6">
        <f t="shared" si="4"/>
        <v>13381</v>
      </c>
      <c r="I483" s="6">
        <f t="shared" si="5"/>
        <v>26068</v>
      </c>
      <c r="J483" s="6">
        <f t="shared" si="6"/>
        <v>54889</v>
      </c>
      <c r="K483" s="9"/>
      <c r="L483" s="9"/>
      <c r="M483" s="9"/>
      <c r="N483" s="9">
        <f t="shared" si="7"/>
        <v>34.58664146</v>
      </c>
      <c r="O483" s="10">
        <f t="shared" si="8"/>
        <v>5.698384201</v>
      </c>
      <c r="P483" s="9">
        <v>30.0</v>
      </c>
      <c r="Q483" s="11" t="str">
        <f t="shared" si="9"/>
        <v>¡Compra YA!</v>
      </c>
      <c r="R483" s="12"/>
      <c r="S483" s="8"/>
      <c r="T483" s="12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5.75" customHeight="1">
      <c r="A484" s="5" t="s">
        <v>958</v>
      </c>
      <c r="B484" s="6" t="s">
        <v>959</v>
      </c>
      <c r="C484" s="6">
        <f t="shared" si="1"/>
        <v>2029</v>
      </c>
      <c r="D484" s="6">
        <f t="shared" si="42"/>
        <v>177</v>
      </c>
      <c r="E484" s="7">
        <v>0.0</v>
      </c>
      <c r="F484" s="8"/>
      <c r="G484" s="6">
        <f t="shared" si="3"/>
        <v>6370</v>
      </c>
      <c r="H484" s="6">
        <f t="shared" si="4"/>
        <v>15280</v>
      </c>
      <c r="I484" s="6">
        <f t="shared" si="5"/>
        <v>23191</v>
      </c>
      <c r="J484" s="6">
        <f t="shared" si="6"/>
        <v>39987</v>
      </c>
      <c r="K484" s="9"/>
      <c r="L484" s="9"/>
      <c r="M484" s="9"/>
      <c r="N484" s="9">
        <f t="shared" si="7"/>
        <v>19.7077378</v>
      </c>
      <c r="O484" s="10">
        <f t="shared" si="8"/>
        <v>9.555729984</v>
      </c>
      <c r="P484" s="9">
        <v>30.0</v>
      </c>
      <c r="Q484" s="11" t="str">
        <f t="shared" si="9"/>
        <v>¡Compra YA!</v>
      </c>
      <c r="R484" s="12"/>
      <c r="S484" s="8"/>
      <c r="T484" s="12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5.75" customHeight="1">
      <c r="A485" s="5" t="s">
        <v>960</v>
      </c>
      <c r="B485" s="6" t="s">
        <v>961</v>
      </c>
      <c r="C485" s="6">
        <f t="shared" si="1"/>
        <v>8558</v>
      </c>
      <c r="D485" s="6">
        <f t="shared" si="42"/>
        <v>180</v>
      </c>
      <c r="E485" s="7">
        <v>0.0</v>
      </c>
      <c r="F485" s="8"/>
      <c r="G485" s="6">
        <f t="shared" si="3"/>
        <v>2709</v>
      </c>
      <c r="H485" s="6">
        <f t="shared" si="4"/>
        <v>16509</v>
      </c>
      <c r="I485" s="6">
        <f t="shared" si="5"/>
        <v>25964</v>
      </c>
      <c r="J485" s="6">
        <f t="shared" si="6"/>
        <v>86682</v>
      </c>
      <c r="K485" s="9"/>
      <c r="L485" s="9"/>
      <c r="M485" s="9"/>
      <c r="N485" s="9">
        <f t="shared" si="7"/>
        <v>10.1287684</v>
      </c>
      <c r="O485" s="10">
        <f t="shared" si="8"/>
        <v>94.77297896</v>
      </c>
      <c r="P485" s="9">
        <v>30.0</v>
      </c>
      <c r="Q485" s="11" t="str">
        <f t="shared" si="9"/>
        <v>cobertura correcta</v>
      </c>
      <c r="R485" s="12"/>
      <c r="S485" s="8"/>
      <c r="T485" s="12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5.75" customHeight="1">
      <c r="A486" s="5" t="s">
        <v>962</v>
      </c>
      <c r="B486" s="6" t="s">
        <v>963</v>
      </c>
      <c r="C486" s="6">
        <f t="shared" si="1"/>
        <v>8740</v>
      </c>
      <c r="D486" s="6">
        <f t="shared" si="42"/>
        <v>6</v>
      </c>
      <c r="E486" s="7">
        <v>0.0</v>
      </c>
      <c r="F486" s="8"/>
      <c r="G486" s="6">
        <f t="shared" si="3"/>
        <v>7814</v>
      </c>
      <c r="H486" s="6">
        <f t="shared" si="4"/>
        <v>14508</v>
      </c>
      <c r="I486" s="6">
        <f t="shared" si="5"/>
        <v>28433</v>
      </c>
      <c r="J486" s="6">
        <f t="shared" si="6"/>
        <v>86848</v>
      </c>
      <c r="K486" s="9"/>
      <c r="L486" s="9"/>
      <c r="M486" s="9"/>
      <c r="N486" s="9">
        <f t="shared" si="7"/>
        <v>9.936842105</v>
      </c>
      <c r="O486" s="10">
        <f t="shared" si="8"/>
        <v>33.55515741</v>
      </c>
      <c r="P486" s="9">
        <v>30.0</v>
      </c>
      <c r="Q486" s="11" t="str">
        <f t="shared" si="9"/>
        <v>cobertura correcta</v>
      </c>
      <c r="R486" s="12"/>
      <c r="S486" s="8"/>
      <c r="T486" s="12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5.75" customHeight="1">
      <c r="A487" s="5" t="s">
        <v>964</v>
      </c>
      <c r="B487" s="6" t="s">
        <v>965</v>
      </c>
      <c r="C487" s="6">
        <f t="shared" si="1"/>
        <v>6922</v>
      </c>
      <c r="D487" s="6">
        <f t="shared" si="42"/>
        <v>67</v>
      </c>
      <c r="E487" s="7">
        <v>0.0</v>
      </c>
      <c r="F487" s="8"/>
      <c r="G487" s="6">
        <f t="shared" si="3"/>
        <v>1438</v>
      </c>
      <c r="H487" s="6">
        <f t="shared" si="4"/>
        <v>17371</v>
      </c>
      <c r="I487" s="6">
        <f t="shared" si="5"/>
        <v>27236</v>
      </c>
      <c r="J487" s="6">
        <f t="shared" si="6"/>
        <v>94011</v>
      </c>
      <c r="K487" s="9"/>
      <c r="L487" s="9"/>
      <c r="M487" s="9"/>
      <c r="N487" s="9">
        <f t="shared" si="7"/>
        <v>13.58147934</v>
      </c>
      <c r="O487" s="10">
        <f t="shared" si="8"/>
        <v>144.4089013</v>
      </c>
      <c r="P487" s="9">
        <v>30.0</v>
      </c>
      <c r="Q487" s="11" t="str">
        <f t="shared" si="9"/>
        <v>cobertura correcta</v>
      </c>
      <c r="R487" s="12"/>
      <c r="S487" s="8"/>
      <c r="T487" s="12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5.75" customHeight="1">
      <c r="A488" s="5" t="s">
        <v>966</v>
      </c>
      <c r="B488" s="6" t="s">
        <v>967</v>
      </c>
      <c r="C488" s="6">
        <f t="shared" si="1"/>
        <v>4235</v>
      </c>
      <c r="D488" s="6">
        <f t="shared" si="42"/>
        <v>33</v>
      </c>
      <c r="E488" s="7">
        <v>0.0</v>
      </c>
      <c r="F488" s="8"/>
      <c r="G488" s="6">
        <f t="shared" si="3"/>
        <v>8156</v>
      </c>
      <c r="H488" s="6">
        <f t="shared" si="4"/>
        <v>11763</v>
      </c>
      <c r="I488" s="6">
        <f t="shared" si="5"/>
        <v>21730</v>
      </c>
      <c r="J488" s="6">
        <f t="shared" si="6"/>
        <v>55284</v>
      </c>
      <c r="K488" s="9"/>
      <c r="L488" s="9"/>
      <c r="M488" s="9"/>
      <c r="N488" s="9">
        <f t="shared" si="7"/>
        <v>13.0540732</v>
      </c>
      <c r="O488" s="10">
        <f t="shared" si="8"/>
        <v>15.57748897</v>
      </c>
      <c r="P488" s="9">
        <v>30.0</v>
      </c>
      <c r="Q488" s="11" t="str">
        <f t="shared" si="9"/>
        <v>¡Compra YA!</v>
      </c>
      <c r="R488" s="12"/>
      <c r="S488" s="8"/>
      <c r="T488" s="12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5.75" customHeight="1">
      <c r="A489" s="5" t="s">
        <v>968</v>
      </c>
      <c r="B489" s="6" t="s">
        <v>969</v>
      </c>
      <c r="C489" s="6">
        <f t="shared" si="1"/>
        <v>1678</v>
      </c>
      <c r="D489" s="6">
        <f t="shared" si="42"/>
        <v>174</v>
      </c>
      <c r="E489" s="7">
        <v>0.0</v>
      </c>
      <c r="F489" s="8"/>
      <c r="G489" s="6">
        <f t="shared" si="3"/>
        <v>3183</v>
      </c>
      <c r="H489" s="6">
        <f t="shared" si="4"/>
        <v>15720</v>
      </c>
      <c r="I489" s="6">
        <f t="shared" si="5"/>
        <v>19624</v>
      </c>
      <c r="J489" s="6">
        <f t="shared" si="6"/>
        <v>60654</v>
      </c>
      <c r="K489" s="9"/>
      <c r="L489" s="9"/>
      <c r="M489" s="9"/>
      <c r="N489" s="9">
        <f t="shared" si="7"/>
        <v>36.1466031</v>
      </c>
      <c r="O489" s="10">
        <f t="shared" si="8"/>
        <v>15.81526861</v>
      </c>
      <c r="P489" s="9">
        <v>30.0</v>
      </c>
      <c r="Q489" s="11" t="str">
        <f t="shared" si="9"/>
        <v>¡Compra YA!</v>
      </c>
      <c r="R489" s="12"/>
      <c r="S489" s="8"/>
      <c r="T489" s="12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5.75" customHeight="1">
      <c r="A490" s="5" t="s">
        <v>970</v>
      </c>
      <c r="B490" s="6" t="s">
        <v>971</v>
      </c>
      <c r="C490" s="6">
        <f t="shared" si="1"/>
        <v>1888</v>
      </c>
      <c r="D490" s="6">
        <f t="shared" si="42"/>
        <v>46</v>
      </c>
      <c r="E490" s="7">
        <v>0.0</v>
      </c>
      <c r="F490" s="8"/>
      <c r="G490" s="6">
        <f t="shared" si="3"/>
        <v>7179</v>
      </c>
      <c r="H490" s="6">
        <f t="shared" si="4"/>
        <v>9967</v>
      </c>
      <c r="I490" s="6">
        <f t="shared" si="5"/>
        <v>21470</v>
      </c>
      <c r="J490" s="6">
        <f t="shared" si="6"/>
        <v>33305</v>
      </c>
      <c r="K490" s="9"/>
      <c r="L490" s="9"/>
      <c r="M490" s="9"/>
      <c r="N490" s="9">
        <f t="shared" si="7"/>
        <v>17.64036017</v>
      </c>
      <c r="O490" s="10">
        <f t="shared" si="8"/>
        <v>7.889678228</v>
      </c>
      <c r="P490" s="9">
        <v>30.0</v>
      </c>
      <c r="Q490" s="11" t="str">
        <f t="shared" si="9"/>
        <v>¡Compra YA!</v>
      </c>
      <c r="R490" s="12"/>
      <c r="S490" s="8"/>
      <c r="T490" s="12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5.75" customHeight="1">
      <c r="A491" s="5" t="s">
        <v>972</v>
      </c>
      <c r="B491" s="6" t="s">
        <v>973</v>
      </c>
      <c r="C491" s="6">
        <f t="shared" si="1"/>
        <v>6593</v>
      </c>
      <c r="D491" s="6">
        <f t="shared" si="42"/>
        <v>25</v>
      </c>
      <c r="E491" s="7">
        <v>0.0</v>
      </c>
      <c r="F491" s="8"/>
      <c r="G491" s="6">
        <f t="shared" si="3"/>
        <v>4798</v>
      </c>
      <c r="H491" s="6">
        <f t="shared" si="4"/>
        <v>18230</v>
      </c>
      <c r="I491" s="6">
        <f t="shared" si="5"/>
        <v>19650</v>
      </c>
      <c r="J491" s="6">
        <f t="shared" si="6"/>
        <v>49091</v>
      </c>
      <c r="K491" s="9"/>
      <c r="L491" s="9"/>
      <c r="M491" s="9"/>
      <c r="N491" s="9">
        <f t="shared" si="7"/>
        <v>7.445927499</v>
      </c>
      <c r="O491" s="10">
        <f t="shared" si="8"/>
        <v>41.22342643</v>
      </c>
      <c r="P491" s="9">
        <v>30.0</v>
      </c>
      <c r="Q491" s="11" t="str">
        <f t="shared" si="9"/>
        <v>cobertura correcta</v>
      </c>
      <c r="R491" s="12"/>
      <c r="S491" s="8"/>
      <c r="T491" s="12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5.75" customHeight="1">
      <c r="A492" s="5" t="s">
        <v>974</v>
      </c>
      <c r="B492" s="6" t="s">
        <v>975</v>
      </c>
      <c r="C492" s="6">
        <f t="shared" si="1"/>
        <v>7984</v>
      </c>
      <c r="D492" s="6">
        <f t="shared" si="42"/>
        <v>42</v>
      </c>
      <c r="E492" s="7">
        <v>0.0</v>
      </c>
      <c r="F492" s="8"/>
      <c r="G492" s="6">
        <f t="shared" si="3"/>
        <v>4821</v>
      </c>
      <c r="H492" s="6">
        <f t="shared" si="4"/>
        <v>17270</v>
      </c>
      <c r="I492" s="6">
        <f t="shared" si="5"/>
        <v>26390</v>
      </c>
      <c r="J492" s="6">
        <f t="shared" si="6"/>
        <v>38930</v>
      </c>
      <c r="K492" s="9"/>
      <c r="L492" s="9"/>
      <c r="M492" s="9"/>
      <c r="N492" s="9">
        <f t="shared" si="7"/>
        <v>4.876002004</v>
      </c>
      <c r="O492" s="10">
        <f t="shared" si="8"/>
        <v>49.68263846</v>
      </c>
      <c r="P492" s="9">
        <v>30.0</v>
      </c>
      <c r="Q492" s="11" t="str">
        <f t="shared" si="9"/>
        <v>cobertura correcta</v>
      </c>
      <c r="R492" s="12"/>
      <c r="S492" s="8"/>
      <c r="T492" s="12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5.75" customHeight="1">
      <c r="A493" s="5" t="s">
        <v>976</v>
      </c>
      <c r="B493" s="6" t="s">
        <v>977</v>
      </c>
      <c r="C493" s="6">
        <f t="shared" si="1"/>
        <v>1411</v>
      </c>
      <c r="D493" s="6">
        <f t="shared" si="42"/>
        <v>143</v>
      </c>
      <c r="E493" s="7">
        <v>0.0</v>
      </c>
      <c r="F493" s="8"/>
      <c r="G493" s="6">
        <f t="shared" si="3"/>
        <v>6955</v>
      </c>
      <c r="H493" s="6">
        <f t="shared" si="4"/>
        <v>15672</v>
      </c>
      <c r="I493" s="6">
        <f t="shared" si="5"/>
        <v>23763</v>
      </c>
      <c r="J493" s="6">
        <f t="shared" si="6"/>
        <v>56274</v>
      </c>
      <c r="K493" s="9"/>
      <c r="L493" s="9"/>
      <c r="M493" s="9"/>
      <c r="N493" s="9">
        <f t="shared" si="7"/>
        <v>39.88235294</v>
      </c>
      <c r="O493" s="10">
        <f t="shared" si="8"/>
        <v>6.086268871</v>
      </c>
      <c r="P493" s="9">
        <v>30.0</v>
      </c>
      <c r="Q493" s="11" t="str">
        <f t="shared" si="9"/>
        <v>¡Compra YA!</v>
      </c>
      <c r="R493" s="12"/>
      <c r="S493" s="8"/>
      <c r="T493" s="12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5.75" customHeight="1">
      <c r="A494" s="5" t="s">
        <v>978</v>
      </c>
      <c r="B494" s="6" t="s">
        <v>979</v>
      </c>
      <c r="C494" s="6">
        <f t="shared" si="1"/>
        <v>2047</v>
      </c>
      <c r="D494" s="6">
        <f t="shared" si="42"/>
        <v>6</v>
      </c>
      <c r="E494" s="7">
        <v>0.0</v>
      </c>
      <c r="F494" s="8"/>
      <c r="G494" s="6">
        <f t="shared" si="3"/>
        <v>7043</v>
      </c>
      <c r="H494" s="6">
        <f t="shared" si="4"/>
        <v>12009</v>
      </c>
      <c r="I494" s="6">
        <f t="shared" si="5"/>
        <v>24275</v>
      </c>
      <c r="J494" s="6">
        <f t="shared" si="6"/>
        <v>40908</v>
      </c>
      <c r="K494" s="9"/>
      <c r="L494" s="9"/>
      <c r="M494" s="9"/>
      <c r="N494" s="9">
        <f t="shared" si="7"/>
        <v>19.98436737</v>
      </c>
      <c r="O494" s="10">
        <f t="shared" si="8"/>
        <v>8.719295755</v>
      </c>
      <c r="P494" s="9">
        <v>30.0</v>
      </c>
      <c r="Q494" s="11" t="str">
        <f t="shared" si="9"/>
        <v>¡Compra YA!</v>
      </c>
      <c r="R494" s="12"/>
      <c r="S494" s="8"/>
      <c r="T494" s="12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5.75" customHeight="1">
      <c r="A495" s="5" t="s">
        <v>980</v>
      </c>
      <c r="B495" s="6" t="s">
        <v>981</v>
      </c>
      <c r="C495" s="6">
        <f t="shared" si="1"/>
        <v>3461</v>
      </c>
      <c r="D495" s="6">
        <f t="shared" si="42"/>
        <v>165</v>
      </c>
      <c r="E495" s="7">
        <v>0.0</v>
      </c>
      <c r="F495" s="8"/>
      <c r="G495" s="6">
        <f t="shared" si="3"/>
        <v>5828</v>
      </c>
      <c r="H495" s="6">
        <f t="shared" si="4"/>
        <v>12940</v>
      </c>
      <c r="I495" s="6">
        <f t="shared" si="5"/>
        <v>20775</v>
      </c>
      <c r="J495" s="6">
        <f t="shared" si="6"/>
        <v>44305</v>
      </c>
      <c r="K495" s="9"/>
      <c r="L495" s="9"/>
      <c r="M495" s="9"/>
      <c r="N495" s="9">
        <f t="shared" si="7"/>
        <v>12.80121352</v>
      </c>
      <c r="O495" s="10">
        <f t="shared" si="8"/>
        <v>17.81571723</v>
      </c>
      <c r="P495" s="9">
        <v>30.0</v>
      </c>
      <c r="Q495" s="11" t="str">
        <f t="shared" si="9"/>
        <v>¡Compra YA!</v>
      </c>
      <c r="R495" s="12"/>
      <c r="S495" s="8"/>
      <c r="T495" s="12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5.75" customHeight="1">
      <c r="A496" s="5" t="s">
        <v>982</v>
      </c>
      <c r="B496" s="6" t="s">
        <v>983</v>
      </c>
      <c r="C496" s="6">
        <f t="shared" si="1"/>
        <v>6670</v>
      </c>
      <c r="D496" s="6">
        <f t="shared" si="42"/>
        <v>177</v>
      </c>
      <c r="E496" s="7">
        <v>0.0</v>
      </c>
      <c r="F496" s="8"/>
      <c r="G496" s="6">
        <f t="shared" si="3"/>
        <v>5174</v>
      </c>
      <c r="H496" s="6">
        <f t="shared" si="4"/>
        <v>13704</v>
      </c>
      <c r="I496" s="6">
        <f t="shared" si="5"/>
        <v>22001</v>
      </c>
      <c r="J496" s="6">
        <f t="shared" si="6"/>
        <v>98334</v>
      </c>
      <c r="K496" s="9"/>
      <c r="L496" s="9"/>
      <c r="M496" s="9"/>
      <c r="N496" s="9">
        <f t="shared" si="7"/>
        <v>14.74272864</v>
      </c>
      <c r="O496" s="10">
        <f t="shared" si="8"/>
        <v>38.67413993</v>
      </c>
      <c r="P496" s="9">
        <v>30.0</v>
      </c>
      <c r="Q496" s="11" t="str">
        <f t="shared" si="9"/>
        <v>cobertura correcta</v>
      </c>
      <c r="R496" s="12"/>
      <c r="S496" s="8"/>
      <c r="T496" s="12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5.75" customHeight="1">
      <c r="A497" s="5" t="s">
        <v>984</v>
      </c>
      <c r="B497" s="6" t="s">
        <v>985</v>
      </c>
      <c r="C497" s="6">
        <f t="shared" si="1"/>
        <v>2102</v>
      </c>
      <c r="D497" s="6">
        <f t="shared" si="42"/>
        <v>134</v>
      </c>
      <c r="E497" s="7">
        <v>0.0</v>
      </c>
      <c r="F497" s="8"/>
      <c r="G497" s="6">
        <f t="shared" si="3"/>
        <v>5437</v>
      </c>
      <c r="H497" s="6">
        <f t="shared" si="4"/>
        <v>9935</v>
      </c>
      <c r="I497" s="6">
        <f t="shared" si="5"/>
        <v>28426</v>
      </c>
      <c r="J497" s="6">
        <f t="shared" si="6"/>
        <v>56843</v>
      </c>
      <c r="K497" s="9"/>
      <c r="L497" s="9"/>
      <c r="M497" s="9"/>
      <c r="N497" s="9">
        <f t="shared" si="7"/>
        <v>27.04234063</v>
      </c>
      <c r="O497" s="10">
        <f t="shared" si="8"/>
        <v>11.59830789</v>
      </c>
      <c r="P497" s="9">
        <v>30.0</v>
      </c>
      <c r="Q497" s="11" t="str">
        <f t="shared" si="9"/>
        <v>¡Compra YA!</v>
      </c>
      <c r="R497" s="12"/>
      <c r="S497" s="8"/>
      <c r="T497" s="12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5.75" customHeight="1">
      <c r="A498" s="5" t="s">
        <v>986</v>
      </c>
      <c r="B498" s="6" t="s">
        <v>987</v>
      </c>
      <c r="C498" s="6">
        <f t="shared" si="1"/>
        <v>1684</v>
      </c>
      <c r="D498" s="6">
        <f t="shared" si="42"/>
        <v>194</v>
      </c>
      <c r="E498" s="7">
        <v>0.0</v>
      </c>
      <c r="F498" s="8"/>
      <c r="G498" s="6">
        <f t="shared" si="3"/>
        <v>6866</v>
      </c>
      <c r="H498" s="6">
        <f t="shared" si="4"/>
        <v>14066</v>
      </c>
      <c r="I498" s="6">
        <f t="shared" si="5"/>
        <v>28224</v>
      </c>
      <c r="J498" s="6">
        <f t="shared" si="6"/>
        <v>92464</v>
      </c>
      <c r="K498" s="9"/>
      <c r="L498" s="9"/>
      <c r="M498" s="9"/>
      <c r="N498" s="9">
        <f t="shared" si="7"/>
        <v>54.90736342</v>
      </c>
      <c r="O498" s="10">
        <f t="shared" si="8"/>
        <v>7.357995922</v>
      </c>
      <c r="P498" s="9">
        <v>30.0</v>
      </c>
      <c r="Q498" s="11" t="str">
        <f t="shared" si="9"/>
        <v>¡Compra YA!</v>
      </c>
      <c r="R498" s="12"/>
      <c r="S498" s="8"/>
      <c r="T498" s="12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5.75" customHeight="1">
      <c r="A499" s="5" t="s">
        <v>988</v>
      </c>
      <c r="B499" s="6" t="s">
        <v>989</v>
      </c>
      <c r="C499" s="6">
        <f t="shared" si="1"/>
        <v>1077</v>
      </c>
      <c r="D499" s="6">
        <f t="shared" si="42"/>
        <v>61</v>
      </c>
      <c r="E499" s="7">
        <v>0.0</v>
      </c>
      <c r="F499" s="8"/>
      <c r="G499" s="6">
        <f t="shared" si="3"/>
        <v>1288</v>
      </c>
      <c r="H499" s="6">
        <f t="shared" si="4"/>
        <v>11941</v>
      </c>
      <c r="I499" s="6">
        <f t="shared" si="5"/>
        <v>20390</v>
      </c>
      <c r="J499" s="6">
        <f t="shared" si="6"/>
        <v>91932</v>
      </c>
      <c r="K499" s="9"/>
      <c r="L499" s="9"/>
      <c r="M499" s="9"/>
      <c r="N499" s="9">
        <f t="shared" si="7"/>
        <v>85.35933148</v>
      </c>
      <c r="O499" s="10">
        <f t="shared" si="8"/>
        <v>25.08540373</v>
      </c>
      <c r="P499" s="9">
        <v>30.0</v>
      </c>
      <c r="Q499" s="11" t="str">
        <f t="shared" si="9"/>
        <v>¡Compra YA!</v>
      </c>
      <c r="R499" s="12"/>
      <c r="S499" s="8"/>
      <c r="T499" s="12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5.75" customHeight="1">
      <c r="A500" s="5" t="s">
        <v>990</v>
      </c>
      <c r="B500" s="6" t="s">
        <v>991</v>
      </c>
      <c r="C500" s="6">
        <f t="shared" si="1"/>
        <v>5318</v>
      </c>
      <c r="D500" s="6">
        <f t="shared" si="42"/>
        <v>8</v>
      </c>
      <c r="E500" s="7">
        <v>0.0</v>
      </c>
      <c r="F500" s="8"/>
      <c r="G500" s="6">
        <f t="shared" si="3"/>
        <v>3455</v>
      </c>
      <c r="H500" s="6">
        <f t="shared" si="4"/>
        <v>12916</v>
      </c>
      <c r="I500" s="6">
        <f t="shared" si="5"/>
        <v>25581</v>
      </c>
      <c r="J500" s="6">
        <f t="shared" si="6"/>
        <v>34296</v>
      </c>
      <c r="K500" s="9"/>
      <c r="L500" s="9"/>
      <c r="M500" s="9"/>
      <c r="N500" s="9">
        <f t="shared" si="7"/>
        <v>6.449040993</v>
      </c>
      <c r="O500" s="10">
        <f t="shared" si="8"/>
        <v>46.17655572</v>
      </c>
      <c r="P500" s="9">
        <v>30.0</v>
      </c>
      <c r="Q500" s="11" t="str">
        <f t="shared" si="9"/>
        <v>cobertura correcta</v>
      </c>
      <c r="R500" s="12"/>
      <c r="S500" s="8"/>
      <c r="T500" s="12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5.75" customHeight="1">
      <c r="A501" s="5" t="s">
        <v>992</v>
      </c>
      <c r="B501" s="6" t="s">
        <v>993</v>
      </c>
      <c r="C501" s="6">
        <f t="shared" si="1"/>
        <v>6248</v>
      </c>
      <c r="D501" s="6">
        <f t="shared" si="42"/>
        <v>129</v>
      </c>
      <c r="E501" s="7">
        <v>0.0</v>
      </c>
      <c r="F501" s="8"/>
      <c r="G501" s="6">
        <f t="shared" si="3"/>
        <v>2710</v>
      </c>
      <c r="H501" s="6">
        <f t="shared" si="4"/>
        <v>13122</v>
      </c>
      <c r="I501" s="6">
        <f t="shared" si="5"/>
        <v>20202</v>
      </c>
      <c r="J501" s="6">
        <f t="shared" si="6"/>
        <v>75402</v>
      </c>
      <c r="K501" s="9"/>
      <c r="L501" s="9"/>
      <c r="M501" s="9"/>
      <c r="N501" s="9">
        <f t="shared" si="7"/>
        <v>12.06818182</v>
      </c>
      <c r="O501" s="10">
        <f t="shared" si="8"/>
        <v>69.16605166</v>
      </c>
      <c r="P501" s="9">
        <v>30.0</v>
      </c>
      <c r="Q501" s="11" t="str">
        <f t="shared" si="9"/>
        <v>cobertura correcta</v>
      </c>
      <c r="R501" s="12"/>
      <c r="S501" s="8"/>
      <c r="T501" s="12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5.75" customHeight="1">
      <c r="A502" s="5" t="s">
        <v>994</v>
      </c>
      <c r="B502" s="6" t="s">
        <v>995</v>
      </c>
      <c r="C502" s="6">
        <f t="shared" si="1"/>
        <v>2481</v>
      </c>
      <c r="D502" s="6">
        <f t="shared" si="42"/>
        <v>57</v>
      </c>
      <c r="E502" s="7">
        <v>0.0</v>
      </c>
      <c r="F502" s="8"/>
      <c r="G502" s="6">
        <f t="shared" si="3"/>
        <v>8834</v>
      </c>
      <c r="H502" s="6">
        <f t="shared" si="4"/>
        <v>13412</v>
      </c>
      <c r="I502" s="6">
        <f t="shared" si="5"/>
        <v>23798</v>
      </c>
      <c r="J502" s="6">
        <f t="shared" si="6"/>
        <v>42979</v>
      </c>
      <c r="K502" s="9"/>
      <c r="L502" s="9"/>
      <c r="M502" s="9"/>
      <c r="N502" s="9">
        <f t="shared" si="7"/>
        <v>17.32325675</v>
      </c>
      <c r="O502" s="10">
        <f t="shared" si="8"/>
        <v>8.425401856</v>
      </c>
      <c r="P502" s="9">
        <v>30.0</v>
      </c>
      <c r="Q502" s="11" t="str">
        <f t="shared" si="9"/>
        <v>¡Compra YA!</v>
      </c>
      <c r="R502" s="12"/>
      <c r="S502" s="8"/>
      <c r="T502" s="12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5.75" customHeight="1">
      <c r="A503" s="5" t="s">
        <v>996</v>
      </c>
      <c r="B503" s="6" t="s">
        <v>997</v>
      </c>
      <c r="C503" s="6">
        <f t="shared" si="1"/>
        <v>5414</v>
      </c>
      <c r="D503" s="6">
        <f t="shared" si="42"/>
        <v>154</v>
      </c>
      <c r="E503" s="7">
        <v>0.0</v>
      </c>
      <c r="F503" s="8"/>
      <c r="G503" s="6">
        <f t="shared" si="3"/>
        <v>3214</v>
      </c>
      <c r="H503" s="6">
        <f t="shared" si="4"/>
        <v>12322</v>
      </c>
      <c r="I503" s="6">
        <f t="shared" si="5"/>
        <v>27136</v>
      </c>
      <c r="J503" s="6">
        <f t="shared" si="6"/>
        <v>54636</v>
      </c>
      <c r="K503" s="9"/>
      <c r="L503" s="9"/>
      <c r="M503" s="9"/>
      <c r="N503" s="9">
        <f t="shared" si="7"/>
        <v>10.09161433</v>
      </c>
      <c r="O503" s="10">
        <f t="shared" si="8"/>
        <v>50.53515868</v>
      </c>
      <c r="P503" s="9">
        <v>30.0</v>
      </c>
      <c r="Q503" s="11" t="str">
        <f t="shared" si="9"/>
        <v>cobertura correcta</v>
      </c>
      <c r="R503" s="12"/>
      <c r="S503" s="8"/>
      <c r="T503" s="12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5.75" customHeight="1">
      <c r="A504" s="5" t="s">
        <v>998</v>
      </c>
      <c r="B504" s="6" t="s">
        <v>999</v>
      </c>
      <c r="C504" s="6">
        <f t="shared" si="1"/>
        <v>6734</v>
      </c>
      <c r="D504" s="6">
        <f t="shared" si="42"/>
        <v>37</v>
      </c>
      <c r="E504" s="7">
        <v>0.0</v>
      </c>
      <c r="F504" s="8"/>
      <c r="G504" s="6">
        <f t="shared" si="3"/>
        <v>7244</v>
      </c>
      <c r="H504" s="6">
        <f t="shared" si="4"/>
        <v>10894</v>
      </c>
      <c r="I504" s="6">
        <f t="shared" si="5"/>
        <v>19415</v>
      </c>
      <c r="J504" s="6">
        <f t="shared" si="6"/>
        <v>55130</v>
      </c>
      <c r="K504" s="9"/>
      <c r="L504" s="9"/>
      <c r="M504" s="9"/>
      <c r="N504" s="9">
        <f t="shared" si="7"/>
        <v>8.186813187</v>
      </c>
      <c r="O504" s="10">
        <f t="shared" si="8"/>
        <v>27.88790723</v>
      </c>
      <c r="P504" s="9">
        <v>30.0</v>
      </c>
      <c r="Q504" s="11" t="str">
        <f t="shared" si="9"/>
        <v>¡Compra YA!</v>
      </c>
      <c r="R504" s="12"/>
      <c r="S504" s="8"/>
      <c r="T504" s="12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5.75" customHeight="1">
      <c r="A505" s="5" t="s">
        <v>1000</v>
      </c>
      <c r="B505" s="6" t="s">
        <v>1001</v>
      </c>
      <c r="C505" s="6">
        <f t="shared" si="1"/>
        <v>4848</v>
      </c>
      <c r="D505" s="6">
        <f t="shared" si="42"/>
        <v>138</v>
      </c>
      <c r="E505" s="7">
        <v>0.0</v>
      </c>
      <c r="F505" s="8"/>
      <c r="G505" s="6">
        <f t="shared" si="3"/>
        <v>2660</v>
      </c>
      <c r="H505" s="6">
        <f t="shared" si="4"/>
        <v>16875</v>
      </c>
      <c r="I505" s="6">
        <f t="shared" si="5"/>
        <v>26330</v>
      </c>
      <c r="J505" s="6">
        <f t="shared" si="6"/>
        <v>88024</v>
      </c>
      <c r="K505" s="9"/>
      <c r="L505" s="9"/>
      <c r="M505" s="9"/>
      <c r="N505" s="9">
        <f t="shared" si="7"/>
        <v>18.15676568</v>
      </c>
      <c r="O505" s="10">
        <f t="shared" si="8"/>
        <v>54.67669173</v>
      </c>
      <c r="P505" s="9">
        <v>30.0</v>
      </c>
      <c r="Q505" s="11" t="str">
        <f t="shared" si="9"/>
        <v>cobertura correcta</v>
      </c>
      <c r="R505" s="12"/>
      <c r="S505" s="8"/>
      <c r="T505" s="12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5.75" customHeight="1">
      <c r="A506" s="5" t="s">
        <v>1002</v>
      </c>
      <c r="B506" s="6" t="s">
        <v>1003</v>
      </c>
      <c r="C506" s="6">
        <f t="shared" si="1"/>
        <v>1606</v>
      </c>
      <c r="D506" s="6">
        <f t="shared" si="42"/>
        <v>62</v>
      </c>
      <c r="E506" s="7">
        <v>0.0</v>
      </c>
      <c r="F506" s="8"/>
      <c r="G506" s="6">
        <f t="shared" si="3"/>
        <v>2125</v>
      </c>
      <c r="H506" s="6">
        <f t="shared" si="4"/>
        <v>17421</v>
      </c>
      <c r="I506" s="6">
        <f t="shared" si="5"/>
        <v>25014</v>
      </c>
      <c r="J506" s="6">
        <f t="shared" si="6"/>
        <v>73788</v>
      </c>
      <c r="K506" s="9"/>
      <c r="L506" s="9"/>
      <c r="M506" s="9"/>
      <c r="N506" s="9">
        <f t="shared" si="7"/>
        <v>45.94520548</v>
      </c>
      <c r="O506" s="10">
        <f t="shared" si="8"/>
        <v>22.67294118</v>
      </c>
      <c r="P506" s="9">
        <v>30.0</v>
      </c>
      <c r="Q506" s="11" t="str">
        <f t="shared" si="9"/>
        <v>¡Compra YA!</v>
      </c>
      <c r="R506" s="12"/>
      <c r="S506" s="8"/>
      <c r="T506" s="12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5.75" customHeight="1">
      <c r="A507" s="5" t="s">
        <v>1004</v>
      </c>
      <c r="B507" s="6" t="s">
        <v>1005</v>
      </c>
      <c r="C507" s="6">
        <f t="shared" si="1"/>
        <v>7851</v>
      </c>
      <c r="D507" s="6">
        <f t="shared" si="42"/>
        <v>74</v>
      </c>
      <c r="E507" s="7">
        <v>0.0</v>
      </c>
      <c r="F507" s="8"/>
      <c r="G507" s="6">
        <f t="shared" si="3"/>
        <v>7514</v>
      </c>
      <c r="H507" s="6">
        <f t="shared" si="4"/>
        <v>15457</v>
      </c>
      <c r="I507" s="6">
        <f t="shared" si="5"/>
        <v>25067</v>
      </c>
      <c r="J507" s="6">
        <f t="shared" si="6"/>
        <v>45379</v>
      </c>
      <c r="K507" s="9"/>
      <c r="L507" s="9"/>
      <c r="M507" s="9"/>
      <c r="N507" s="9">
        <f t="shared" si="7"/>
        <v>5.780028022</v>
      </c>
      <c r="O507" s="10">
        <f t="shared" si="8"/>
        <v>31.34548842</v>
      </c>
      <c r="P507" s="9">
        <v>30.0</v>
      </c>
      <c r="Q507" s="11" t="str">
        <f t="shared" si="9"/>
        <v>cobertura correcta</v>
      </c>
      <c r="R507" s="12"/>
      <c r="S507" s="8"/>
      <c r="T507" s="12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5.75" customHeight="1">
      <c r="A508" s="5" t="s">
        <v>1006</v>
      </c>
      <c r="B508" s="6" t="s">
        <v>1007</v>
      </c>
      <c r="C508" s="6">
        <f t="shared" si="1"/>
        <v>1125</v>
      </c>
      <c r="D508" s="6">
        <f t="shared" si="42"/>
        <v>22</v>
      </c>
      <c r="E508" s="7">
        <v>0.0</v>
      </c>
      <c r="F508" s="8"/>
      <c r="G508" s="6">
        <f t="shared" si="3"/>
        <v>7039</v>
      </c>
      <c r="H508" s="6">
        <f t="shared" si="4"/>
        <v>15633</v>
      </c>
      <c r="I508" s="6">
        <f t="shared" si="5"/>
        <v>28190</v>
      </c>
      <c r="J508" s="6">
        <f t="shared" si="6"/>
        <v>73713</v>
      </c>
      <c r="K508" s="9"/>
      <c r="L508" s="9"/>
      <c r="M508" s="9"/>
      <c r="N508" s="9">
        <f t="shared" si="7"/>
        <v>65.52266667</v>
      </c>
      <c r="O508" s="10">
        <f t="shared" si="8"/>
        <v>4.794715158</v>
      </c>
      <c r="P508" s="9">
        <v>30.0</v>
      </c>
      <c r="Q508" s="11" t="str">
        <f t="shared" si="9"/>
        <v>¡Compra YA!</v>
      </c>
      <c r="R508" s="12"/>
      <c r="S508" s="8"/>
      <c r="T508" s="12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5.75" customHeight="1">
      <c r="A509" s="5" t="s">
        <v>1008</v>
      </c>
      <c r="B509" s="6" t="s">
        <v>1009</v>
      </c>
      <c r="C509" s="6">
        <f t="shared" si="1"/>
        <v>1513</v>
      </c>
      <c r="D509" s="6">
        <f t="shared" si="42"/>
        <v>194</v>
      </c>
      <c r="E509" s="7">
        <v>0.0</v>
      </c>
      <c r="F509" s="8"/>
      <c r="G509" s="6">
        <f t="shared" si="3"/>
        <v>8700</v>
      </c>
      <c r="H509" s="6">
        <f t="shared" si="4"/>
        <v>12101</v>
      </c>
      <c r="I509" s="6">
        <f t="shared" si="5"/>
        <v>28513</v>
      </c>
      <c r="J509" s="6">
        <f t="shared" si="6"/>
        <v>47657</v>
      </c>
      <c r="K509" s="9"/>
      <c r="L509" s="9"/>
      <c r="M509" s="9"/>
      <c r="N509" s="9">
        <f t="shared" si="7"/>
        <v>31.49834765</v>
      </c>
      <c r="O509" s="10">
        <f t="shared" si="8"/>
        <v>5.217241379</v>
      </c>
      <c r="P509" s="9">
        <v>30.0</v>
      </c>
      <c r="Q509" s="11" t="str">
        <f t="shared" si="9"/>
        <v>¡Compra YA!</v>
      </c>
      <c r="R509" s="12"/>
      <c r="S509" s="8"/>
      <c r="T509" s="12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5.75" customHeight="1">
      <c r="A510" s="5" t="s">
        <v>1010</v>
      </c>
      <c r="B510" s="6" t="s">
        <v>1011</v>
      </c>
      <c r="C510" s="6">
        <f t="shared" si="1"/>
        <v>1782</v>
      </c>
      <c r="D510" s="6">
        <f t="shared" si="42"/>
        <v>92</v>
      </c>
      <c r="E510" s="7">
        <v>0.0</v>
      </c>
      <c r="F510" s="8"/>
      <c r="G510" s="6">
        <f t="shared" si="3"/>
        <v>8237</v>
      </c>
      <c r="H510" s="6">
        <f t="shared" si="4"/>
        <v>17463</v>
      </c>
      <c r="I510" s="6">
        <f t="shared" si="5"/>
        <v>22658</v>
      </c>
      <c r="J510" s="6">
        <f t="shared" si="6"/>
        <v>45671</v>
      </c>
      <c r="K510" s="9"/>
      <c r="L510" s="9"/>
      <c r="M510" s="9"/>
      <c r="N510" s="9">
        <f t="shared" si="7"/>
        <v>25.62906846</v>
      </c>
      <c r="O510" s="10">
        <f t="shared" si="8"/>
        <v>6.490227024</v>
      </c>
      <c r="P510" s="9">
        <v>30.0</v>
      </c>
      <c r="Q510" s="11" t="str">
        <f t="shared" si="9"/>
        <v>¡Compra YA!</v>
      </c>
      <c r="R510" s="12"/>
      <c r="S510" s="8"/>
      <c r="T510" s="12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5.75" customHeight="1">
      <c r="A511" s="5" t="s">
        <v>1012</v>
      </c>
      <c r="B511" s="6" t="s">
        <v>1013</v>
      </c>
      <c r="C511" s="6">
        <f t="shared" si="1"/>
        <v>1948</v>
      </c>
      <c r="D511" s="6">
        <f t="shared" si="42"/>
        <v>196</v>
      </c>
      <c r="E511" s="7">
        <v>0.0</v>
      </c>
      <c r="F511" s="8"/>
      <c r="G511" s="6">
        <f t="shared" si="3"/>
        <v>7358</v>
      </c>
      <c r="H511" s="6">
        <f t="shared" si="4"/>
        <v>9718</v>
      </c>
      <c r="I511" s="6">
        <f t="shared" si="5"/>
        <v>19100</v>
      </c>
      <c r="J511" s="6">
        <f t="shared" si="6"/>
        <v>70853</v>
      </c>
      <c r="K511" s="9"/>
      <c r="L511" s="9"/>
      <c r="M511" s="9"/>
      <c r="N511" s="9">
        <f t="shared" si="7"/>
        <v>36.37217659</v>
      </c>
      <c r="O511" s="10">
        <f t="shared" si="8"/>
        <v>7.942375646</v>
      </c>
      <c r="P511" s="9">
        <v>30.0</v>
      </c>
      <c r="Q511" s="11" t="str">
        <f t="shared" si="9"/>
        <v>¡Compra YA!</v>
      </c>
      <c r="R511" s="12"/>
      <c r="S511" s="8"/>
      <c r="T511" s="12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5.75" customHeight="1">
      <c r="A512" s="5" t="s">
        <v>1014</v>
      </c>
      <c r="B512" s="6" t="s">
        <v>1015</v>
      </c>
      <c r="C512" s="6">
        <f t="shared" si="1"/>
        <v>2292</v>
      </c>
      <c r="D512" s="6">
        <f t="shared" si="42"/>
        <v>58</v>
      </c>
      <c r="E512" s="7">
        <v>0.0</v>
      </c>
      <c r="F512" s="8"/>
      <c r="G512" s="6">
        <f t="shared" si="3"/>
        <v>3812</v>
      </c>
      <c r="H512" s="6">
        <f t="shared" si="4"/>
        <v>15353</v>
      </c>
      <c r="I512" s="6">
        <f t="shared" si="5"/>
        <v>24812</v>
      </c>
      <c r="J512" s="6">
        <f t="shared" si="6"/>
        <v>55270</v>
      </c>
      <c r="K512" s="9"/>
      <c r="L512" s="9"/>
      <c r="M512" s="9"/>
      <c r="N512" s="9">
        <f t="shared" si="7"/>
        <v>24.11431065</v>
      </c>
      <c r="O512" s="10">
        <f t="shared" si="8"/>
        <v>18.03777545</v>
      </c>
      <c r="P512" s="9">
        <v>30.0</v>
      </c>
      <c r="Q512" s="11" t="str">
        <f t="shared" si="9"/>
        <v>¡Compra YA!</v>
      </c>
      <c r="R512" s="12"/>
      <c r="S512" s="8"/>
      <c r="T512" s="12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5.75" customHeight="1">
      <c r="A513" s="5" t="s">
        <v>1016</v>
      </c>
      <c r="B513" s="6" t="s">
        <v>1017</v>
      </c>
      <c r="C513" s="6">
        <f t="shared" si="1"/>
        <v>6375</v>
      </c>
      <c r="D513" s="6">
        <f t="shared" si="42"/>
        <v>191</v>
      </c>
      <c r="E513" s="7">
        <v>0.0</v>
      </c>
      <c r="F513" s="8"/>
      <c r="G513" s="6">
        <f t="shared" si="3"/>
        <v>4929</v>
      </c>
      <c r="H513" s="6">
        <f t="shared" si="4"/>
        <v>16382</v>
      </c>
      <c r="I513" s="6">
        <f t="shared" si="5"/>
        <v>22598</v>
      </c>
      <c r="J513" s="6">
        <f t="shared" si="6"/>
        <v>98723</v>
      </c>
      <c r="K513" s="9"/>
      <c r="L513" s="9"/>
      <c r="M513" s="9"/>
      <c r="N513" s="9">
        <f t="shared" si="7"/>
        <v>15.48596078</v>
      </c>
      <c r="O513" s="10">
        <f t="shared" si="8"/>
        <v>38.80097383</v>
      </c>
      <c r="P513" s="9">
        <v>30.0</v>
      </c>
      <c r="Q513" s="11" t="str">
        <f t="shared" si="9"/>
        <v>cobertura correcta</v>
      </c>
      <c r="R513" s="12"/>
      <c r="S513" s="8"/>
      <c r="T513" s="12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5.75" customHeight="1">
      <c r="A514" s="5" t="s">
        <v>1018</v>
      </c>
      <c r="B514" s="6" t="s">
        <v>1019</v>
      </c>
      <c r="C514" s="6">
        <f t="shared" si="1"/>
        <v>1794</v>
      </c>
      <c r="D514" s="6">
        <f t="shared" si="42"/>
        <v>200</v>
      </c>
      <c r="E514" s="7">
        <v>0.0</v>
      </c>
      <c r="F514" s="8"/>
      <c r="G514" s="6">
        <f t="shared" si="3"/>
        <v>5162</v>
      </c>
      <c r="H514" s="6">
        <f t="shared" si="4"/>
        <v>11704</v>
      </c>
      <c r="I514" s="6">
        <f t="shared" si="5"/>
        <v>24828</v>
      </c>
      <c r="J514" s="6">
        <f t="shared" si="6"/>
        <v>58991</v>
      </c>
      <c r="K514" s="9"/>
      <c r="L514" s="9"/>
      <c r="M514" s="9"/>
      <c r="N514" s="9">
        <f t="shared" si="7"/>
        <v>32.88238573</v>
      </c>
      <c r="O514" s="10">
        <f t="shared" si="8"/>
        <v>10.4261914</v>
      </c>
      <c r="P514" s="9">
        <v>30.0</v>
      </c>
      <c r="Q514" s="11" t="str">
        <f t="shared" si="9"/>
        <v>¡Compra YA!</v>
      </c>
      <c r="R514" s="12"/>
      <c r="S514" s="8"/>
      <c r="T514" s="12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5.75" customHeight="1">
      <c r="A515" s="5" t="s">
        <v>1020</v>
      </c>
      <c r="B515" s="6" t="s">
        <v>1021</v>
      </c>
      <c r="C515" s="6">
        <f t="shared" si="1"/>
        <v>4934</v>
      </c>
      <c r="D515" s="6">
        <f t="shared" si="42"/>
        <v>156</v>
      </c>
      <c r="E515" s="7">
        <v>0.0</v>
      </c>
      <c r="F515" s="8"/>
      <c r="G515" s="6">
        <f t="shared" si="3"/>
        <v>1741</v>
      </c>
      <c r="H515" s="6">
        <f t="shared" si="4"/>
        <v>12126</v>
      </c>
      <c r="I515" s="6">
        <f t="shared" si="5"/>
        <v>22505</v>
      </c>
      <c r="J515" s="6">
        <f t="shared" si="6"/>
        <v>58206</v>
      </c>
      <c r="K515" s="9"/>
      <c r="L515" s="9"/>
      <c r="M515" s="9"/>
      <c r="N515" s="9">
        <f t="shared" si="7"/>
        <v>11.79691934</v>
      </c>
      <c r="O515" s="10">
        <f t="shared" si="8"/>
        <v>85.02010339</v>
      </c>
      <c r="P515" s="9">
        <v>30.0</v>
      </c>
      <c r="Q515" s="11" t="str">
        <f t="shared" si="9"/>
        <v>cobertura correcta</v>
      </c>
      <c r="R515" s="12"/>
      <c r="S515" s="8"/>
      <c r="T515" s="12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5.75" customHeight="1">
      <c r="A516" s="5" t="s">
        <v>1022</v>
      </c>
      <c r="B516" s="6" t="s">
        <v>1023</v>
      </c>
      <c r="C516" s="6">
        <f t="shared" si="1"/>
        <v>4371</v>
      </c>
      <c r="D516" s="6">
        <f t="shared" si="42"/>
        <v>108</v>
      </c>
      <c r="E516" s="7">
        <v>0.0</v>
      </c>
      <c r="F516" s="8"/>
      <c r="G516" s="6">
        <f t="shared" si="3"/>
        <v>1198</v>
      </c>
      <c r="H516" s="6">
        <f t="shared" si="4"/>
        <v>10215</v>
      </c>
      <c r="I516" s="6">
        <f t="shared" si="5"/>
        <v>22639</v>
      </c>
      <c r="J516" s="6">
        <f t="shared" si="6"/>
        <v>53718</v>
      </c>
      <c r="K516" s="9"/>
      <c r="L516" s="9"/>
      <c r="M516" s="9"/>
      <c r="N516" s="9">
        <f t="shared" si="7"/>
        <v>12.28963624</v>
      </c>
      <c r="O516" s="10">
        <f t="shared" si="8"/>
        <v>109.457429</v>
      </c>
      <c r="P516" s="9">
        <v>30.0</v>
      </c>
      <c r="Q516" s="11" t="str">
        <f t="shared" si="9"/>
        <v>cobertura correcta</v>
      </c>
      <c r="R516" s="12"/>
      <c r="S516" s="8"/>
      <c r="T516" s="12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5.75" customHeight="1">
      <c r="A517" s="5" t="s">
        <v>1024</v>
      </c>
      <c r="B517" s="6" t="s">
        <v>1025</v>
      </c>
      <c r="C517" s="6">
        <f t="shared" si="1"/>
        <v>7860</v>
      </c>
      <c r="D517" s="6">
        <f t="shared" si="42"/>
        <v>101</v>
      </c>
      <c r="E517" s="7">
        <v>0.0</v>
      </c>
      <c r="F517" s="8"/>
      <c r="G517" s="6">
        <f t="shared" si="3"/>
        <v>6472</v>
      </c>
      <c r="H517" s="6">
        <f t="shared" si="4"/>
        <v>18266</v>
      </c>
      <c r="I517" s="6">
        <f t="shared" si="5"/>
        <v>20272</v>
      </c>
      <c r="J517" s="6">
        <f t="shared" si="6"/>
        <v>30767</v>
      </c>
      <c r="K517" s="9"/>
      <c r="L517" s="9"/>
      <c r="M517" s="9"/>
      <c r="N517" s="9">
        <f t="shared" si="7"/>
        <v>3.91437659</v>
      </c>
      <c r="O517" s="10">
        <f t="shared" si="8"/>
        <v>36.43386897</v>
      </c>
      <c r="P517" s="9">
        <v>30.0</v>
      </c>
      <c r="Q517" s="11" t="str">
        <f t="shared" si="9"/>
        <v>cobertura correcta</v>
      </c>
      <c r="R517" s="12"/>
      <c r="S517" s="8"/>
      <c r="T517" s="12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5.75" customHeight="1">
      <c r="A518" s="5" t="s">
        <v>1026</v>
      </c>
      <c r="B518" s="6" t="s">
        <v>1027</v>
      </c>
      <c r="C518" s="6">
        <f t="shared" si="1"/>
        <v>7594</v>
      </c>
      <c r="D518" s="6">
        <f t="shared" si="42"/>
        <v>82</v>
      </c>
      <c r="E518" s="7">
        <v>0.0</v>
      </c>
      <c r="F518" s="8"/>
      <c r="G518" s="6">
        <f t="shared" si="3"/>
        <v>6256</v>
      </c>
      <c r="H518" s="6">
        <f t="shared" si="4"/>
        <v>15328</v>
      </c>
      <c r="I518" s="6">
        <f t="shared" si="5"/>
        <v>23392</v>
      </c>
      <c r="J518" s="6">
        <f t="shared" si="6"/>
        <v>91834</v>
      </c>
      <c r="K518" s="9"/>
      <c r="L518" s="9"/>
      <c r="M518" s="9"/>
      <c r="N518" s="9">
        <f t="shared" si="7"/>
        <v>12.09296813</v>
      </c>
      <c r="O518" s="10">
        <f t="shared" si="8"/>
        <v>36.41624041</v>
      </c>
      <c r="P518" s="9">
        <v>30.0</v>
      </c>
      <c r="Q518" s="11" t="str">
        <f t="shared" si="9"/>
        <v>cobertura correcta</v>
      </c>
      <c r="R518" s="12"/>
      <c r="S518" s="8"/>
      <c r="T518" s="12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5.75" customHeight="1">
      <c r="A519" s="5" t="s">
        <v>1028</v>
      </c>
      <c r="B519" s="6" t="s">
        <v>1029</v>
      </c>
      <c r="C519" s="6">
        <f t="shared" si="1"/>
        <v>6386</v>
      </c>
      <c r="D519" s="6">
        <f t="shared" si="42"/>
        <v>160</v>
      </c>
      <c r="E519" s="7">
        <v>0.0</v>
      </c>
      <c r="F519" s="8"/>
      <c r="G519" s="6">
        <f t="shared" si="3"/>
        <v>1152</v>
      </c>
      <c r="H519" s="6">
        <f t="shared" si="4"/>
        <v>17633</v>
      </c>
      <c r="I519" s="6">
        <f t="shared" si="5"/>
        <v>27891</v>
      </c>
      <c r="J519" s="6">
        <f t="shared" si="6"/>
        <v>74630</v>
      </c>
      <c r="K519" s="9"/>
      <c r="L519" s="9"/>
      <c r="M519" s="9"/>
      <c r="N519" s="9">
        <f t="shared" si="7"/>
        <v>11.68650172</v>
      </c>
      <c r="O519" s="10">
        <f t="shared" si="8"/>
        <v>166.3020833</v>
      </c>
      <c r="P519" s="9">
        <v>30.0</v>
      </c>
      <c r="Q519" s="11" t="str">
        <f t="shared" si="9"/>
        <v>cobertura correcta</v>
      </c>
      <c r="R519" s="12"/>
      <c r="S519" s="8"/>
      <c r="T519" s="12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5.75" customHeight="1">
      <c r="A520" s="5" t="s">
        <v>1030</v>
      </c>
      <c r="B520" s="6" t="s">
        <v>1031</v>
      </c>
      <c r="C520" s="6">
        <f t="shared" si="1"/>
        <v>7316</v>
      </c>
      <c r="D520" s="6">
        <f t="shared" si="42"/>
        <v>178</v>
      </c>
      <c r="E520" s="7">
        <v>0.0</v>
      </c>
      <c r="F520" s="8"/>
      <c r="G520" s="6">
        <f t="shared" si="3"/>
        <v>4565</v>
      </c>
      <c r="H520" s="6">
        <f t="shared" si="4"/>
        <v>11169</v>
      </c>
      <c r="I520" s="6">
        <f t="shared" si="5"/>
        <v>21540</v>
      </c>
      <c r="J520" s="6">
        <f t="shared" si="6"/>
        <v>57878</v>
      </c>
      <c r="K520" s="9"/>
      <c r="L520" s="9"/>
      <c r="M520" s="9"/>
      <c r="N520" s="9">
        <f t="shared" si="7"/>
        <v>7.911153636</v>
      </c>
      <c r="O520" s="10">
        <f t="shared" si="8"/>
        <v>48.0788609</v>
      </c>
      <c r="P520" s="9">
        <v>30.0</v>
      </c>
      <c r="Q520" s="11" t="str">
        <f t="shared" si="9"/>
        <v>cobertura correcta</v>
      </c>
      <c r="R520" s="12"/>
      <c r="S520" s="8"/>
      <c r="T520" s="12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5.75" customHeight="1">
      <c r="A521" s="5" t="s">
        <v>1032</v>
      </c>
      <c r="B521" s="6" t="s">
        <v>1033</v>
      </c>
      <c r="C521" s="6">
        <f t="shared" si="1"/>
        <v>1614</v>
      </c>
      <c r="D521" s="6">
        <f t="shared" si="42"/>
        <v>34</v>
      </c>
      <c r="E521" s="7">
        <v>0.0</v>
      </c>
      <c r="F521" s="8"/>
      <c r="G521" s="6">
        <f t="shared" si="3"/>
        <v>4904</v>
      </c>
      <c r="H521" s="6">
        <f t="shared" si="4"/>
        <v>9498</v>
      </c>
      <c r="I521" s="6">
        <f t="shared" si="5"/>
        <v>28065</v>
      </c>
      <c r="J521" s="6">
        <f t="shared" si="6"/>
        <v>68489</v>
      </c>
      <c r="K521" s="9"/>
      <c r="L521" s="9"/>
      <c r="M521" s="9"/>
      <c r="N521" s="9">
        <f t="shared" si="7"/>
        <v>42.43432466</v>
      </c>
      <c r="O521" s="10">
        <f t="shared" si="8"/>
        <v>9.873572594</v>
      </c>
      <c r="P521" s="9">
        <v>30.0</v>
      </c>
      <c r="Q521" s="11" t="str">
        <f t="shared" si="9"/>
        <v>¡Compra YA!</v>
      </c>
      <c r="R521" s="12"/>
      <c r="S521" s="8"/>
      <c r="T521" s="12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5.75" customHeight="1">
      <c r="A522" s="5" t="s">
        <v>1034</v>
      </c>
      <c r="B522" s="6" t="s">
        <v>1035</v>
      </c>
      <c r="C522" s="6">
        <f t="shared" si="1"/>
        <v>2985</v>
      </c>
      <c r="D522" s="6">
        <f t="shared" si="42"/>
        <v>48</v>
      </c>
      <c r="E522" s="7">
        <v>0.0</v>
      </c>
      <c r="F522" s="8"/>
      <c r="G522" s="6">
        <f t="shared" si="3"/>
        <v>8776</v>
      </c>
      <c r="H522" s="6">
        <f t="shared" si="4"/>
        <v>12981</v>
      </c>
      <c r="I522" s="6">
        <f t="shared" si="5"/>
        <v>26688</v>
      </c>
      <c r="J522" s="6">
        <f t="shared" si="6"/>
        <v>88617</v>
      </c>
      <c r="K522" s="9"/>
      <c r="L522" s="9"/>
      <c r="M522" s="9"/>
      <c r="N522" s="9">
        <f t="shared" si="7"/>
        <v>29.68743719</v>
      </c>
      <c r="O522" s="10">
        <f t="shared" si="8"/>
        <v>10.20396536</v>
      </c>
      <c r="P522" s="9">
        <v>30.0</v>
      </c>
      <c r="Q522" s="11" t="str">
        <f t="shared" si="9"/>
        <v>¡Compra YA!</v>
      </c>
      <c r="R522" s="12"/>
      <c r="S522" s="8"/>
      <c r="T522" s="12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5.75" customHeight="1">
      <c r="A523" s="5" t="s">
        <v>1036</v>
      </c>
      <c r="B523" s="6" t="s">
        <v>1037</v>
      </c>
      <c r="C523" s="6">
        <f t="shared" si="1"/>
        <v>7484</v>
      </c>
      <c r="D523" s="6">
        <f t="shared" si="42"/>
        <v>103</v>
      </c>
      <c r="E523" s="7">
        <v>0.0</v>
      </c>
      <c r="F523" s="8"/>
      <c r="G523" s="6">
        <f t="shared" si="3"/>
        <v>3038</v>
      </c>
      <c r="H523" s="6">
        <f t="shared" si="4"/>
        <v>11098</v>
      </c>
      <c r="I523" s="6">
        <f t="shared" si="5"/>
        <v>25585</v>
      </c>
      <c r="J523" s="6">
        <f t="shared" si="6"/>
        <v>35089</v>
      </c>
      <c r="K523" s="9"/>
      <c r="L523" s="9"/>
      <c r="M523" s="9"/>
      <c r="N523" s="9">
        <f t="shared" si="7"/>
        <v>4.688535542</v>
      </c>
      <c r="O523" s="10">
        <f t="shared" si="8"/>
        <v>73.90388413</v>
      </c>
      <c r="P523" s="9">
        <v>30.0</v>
      </c>
      <c r="Q523" s="11" t="str">
        <f t="shared" si="9"/>
        <v>cobertura correcta</v>
      </c>
      <c r="R523" s="12"/>
      <c r="S523" s="8"/>
      <c r="T523" s="12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5.75" customHeight="1">
      <c r="A524" s="5" t="s">
        <v>1038</v>
      </c>
      <c r="B524" s="6" t="s">
        <v>1039</v>
      </c>
      <c r="C524" s="6">
        <f t="shared" si="1"/>
        <v>8668</v>
      </c>
      <c r="D524" s="6">
        <f t="shared" si="42"/>
        <v>1</v>
      </c>
      <c r="E524" s="7">
        <v>0.0</v>
      </c>
      <c r="F524" s="8"/>
      <c r="G524" s="6">
        <f t="shared" si="3"/>
        <v>6082</v>
      </c>
      <c r="H524" s="6">
        <f t="shared" si="4"/>
        <v>14178</v>
      </c>
      <c r="I524" s="6">
        <f t="shared" si="5"/>
        <v>21372</v>
      </c>
      <c r="J524" s="6">
        <f t="shared" si="6"/>
        <v>55736</v>
      </c>
      <c r="K524" s="9"/>
      <c r="L524" s="9"/>
      <c r="M524" s="9"/>
      <c r="N524" s="9">
        <f t="shared" si="7"/>
        <v>6.430087679</v>
      </c>
      <c r="O524" s="10">
        <f t="shared" si="8"/>
        <v>42.75567248</v>
      </c>
      <c r="P524" s="9">
        <v>30.0</v>
      </c>
      <c r="Q524" s="11" t="str">
        <f t="shared" si="9"/>
        <v>cobertura correcta</v>
      </c>
      <c r="R524" s="12"/>
      <c r="S524" s="8"/>
      <c r="T524" s="12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5.75" customHeight="1">
      <c r="A525" s="5" t="s">
        <v>1040</v>
      </c>
      <c r="B525" s="6" t="s">
        <v>1041</v>
      </c>
      <c r="C525" s="6">
        <f t="shared" si="1"/>
        <v>8301</v>
      </c>
      <c r="D525" s="6">
        <f t="shared" si="42"/>
        <v>46</v>
      </c>
      <c r="E525" s="7">
        <v>0.0</v>
      </c>
      <c r="F525" s="8"/>
      <c r="G525" s="6">
        <f t="shared" si="3"/>
        <v>8107</v>
      </c>
      <c r="H525" s="6">
        <f t="shared" si="4"/>
        <v>12167</v>
      </c>
      <c r="I525" s="6">
        <f t="shared" si="5"/>
        <v>27137</v>
      </c>
      <c r="J525" s="6">
        <f t="shared" si="6"/>
        <v>45389</v>
      </c>
      <c r="K525" s="9"/>
      <c r="L525" s="9"/>
      <c r="M525" s="9"/>
      <c r="N525" s="9">
        <f t="shared" si="7"/>
        <v>5.467895434</v>
      </c>
      <c r="O525" s="10">
        <f t="shared" si="8"/>
        <v>30.71789811</v>
      </c>
      <c r="P525" s="9">
        <v>30.0</v>
      </c>
      <c r="Q525" s="11" t="str">
        <f t="shared" si="9"/>
        <v>cobertura correcta</v>
      </c>
      <c r="R525" s="12"/>
      <c r="S525" s="8"/>
      <c r="T525" s="12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5.75" customHeight="1">
      <c r="A526" s="5" t="s">
        <v>1042</v>
      </c>
      <c r="B526" s="6" t="s">
        <v>1043</v>
      </c>
      <c r="C526" s="6">
        <f t="shared" si="1"/>
        <v>4883</v>
      </c>
      <c r="D526" s="6">
        <f t="shared" si="42"/>
        <v>184</v>
      </c>
      <c r="E526" s="7">
        <v>0.0</v>
      </c>
      <c r="F526" s="8"/>
      <c r="G526" s="6">
        <f t="shared" si="3"/>
        <v>3627</v>
      </c>
      <c r="H526" s="6">
        <f t="shared" si="4"/>
        <v>13613</v>
      </c>
      <c r="I526" s="6">
        <f t="shared" si="5"/>
        <v>22002</v>
      </c>
      <c r="J526" s="6">
        <f t="shared" si="6"/>
        <v>81476</v>
      </c>
      <c r="K526" s="9"/>
      <c r="L526" s="9"/>
      <c r="M526" s="9"/>
      <c r="N526" s="9">
        <f t="shared" si="7"/>
        <v>16.68564407</v>
      </c>
      <c r="O526" s="10">
        <f t="shared" si="8"/>
        <v>40.38875103</v>
      </c>
      <c r="P526" s="9">
        <v>30.0</v>
      </c>
      <c r="Q526" s="11" t="str">
        <f t="shared" si="9"/>
        <v>cobertura correcta</v>
      </c>
      <c r="R526" s="12"/>
      <c r="S526" s="8"/>
      <c r="T526" s="12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5.75" customHeight="1">
      <c r="A527" s="5" t="s">
        <v>1044</v>
      </c>
      <c r="B527" s="6"/>
      <c r="C527" s="6">
        <f t="shared" si="1"/>
        <v>4279</v>
      </c>
      <c r="D527" s="6">
        <f t="shared" si="42"/>
        <v>82</v>
      </c>
      <c r="E527" s="7">
        <v>0.0</v>
      </c>
      <c r="F527" s="8"/>
      <c r="G527" s="6">
        <f t="shared" si="3"/>
        <v>7858</v>
      </c>
      <c r="H527" s="6">
        <f t="shared" si="4"/>
        <v>14976</v>
      </c>
      <c r="I527" s="6">
        <f t="shared" si="5"/>
        <v>19696</v>
      </c>
      <c r="J527" s="6">
        <f t="shared" si="6"/>
        <v>35171</v>
      </c>
      <c r="K527" s="9"/>
      <c r="L527" s="9"/>
      <c r="M527" s="9"/>
      <c r="N527" s="9">
        <f t="shared" si="7"/>
        <v>8.219443795</v>
      </c>
      <c r="O527" s="10">
        <f t="shared" si="8"/>
        <v>16.33621787</v>
      </c>
      <c r="P527" s="9">
        <v>30.0</v>
      </c>
      <c r="Q527" s="11" t="str">
        <f t="shared" si="9"/>
        <v>¡Compra YA!</v>
      </c>
      <c r="R527" s="12"/>
      <c r="S527" s="8"/>
      <c r="T527" s="12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5.75" customHeight="1">
      <c r="A528" s="5" t="s">
        <v>1045</v>
      </c>
      <c r="B528" s="6" t="s">
        <v>1046</v>
      </c>
      <c r="C528" s="6">
        <f t="shared" si="1"/>
        <v>3885</v>
      </c>
      <c r="D528" s="6">
        <f t="shared" si="42"/>
        <v>157</v>
      </c>
      <c r="E528" s="7">
        <v>0.0</v>
      </c>
      <c r="F528" s="8"/>
      <c r="G528" s="6">
        <f t="shared" si="3"/>
        <v>8986</v>
      </c>
      <c r="H528" s="6">
        <f t="shared" si="4"/>
        <v>16685</v>
      </c>
      <c r="I528" s="6">
        <f t="shared" si="5"/>
        <v>19291</v>
      </c>
      <c r="J528" s="6">
        <f t="shared" si="6"/>
        <v>95320</v>
      </c>
      <c r="K528" s="9"/>
      <c r="L528" s="9"/>
      <c r="M528" s="9"/>
      <c r="N528" s="9">
        <f t="shared" si="7"/>
        <v>24.53539254</v>
      </c>
      <c r="O528" s="10">
        <f t="shared" si="8"/>
        <v>12.97017583</v>
      </c>
      <c r="P528" s="9">
        <v>30.0</v>
      </c>
      <c r="Q528" s="11" t="str">
        <f t="shared" si="9"/>
        <v>¡Compra YA!</v>
      </c>
      <c r="R528" s="12"/>
      <c r="S528" s="8"/>
      <c r="T528" s="12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5" t="s">
        <v>1047</v>
      </c>
      <c r="B529" s="6" t="s">
        <v>1048</v>
      </c>
      <c r="C529" s="6">
        <f t="shared" si="1"/>
        <v>5770</v>
      </c>
      <c r="D529" s="6">
        <f t="shared" si="42"/>
        <v>2</v>
      </c>
      <c r="E529" s="7">
        <v>0.0</v>
      </c>
      <c r="F529" s="8"/>
      <c r="G529" s="6">
        <f t="shared" si="3"/>
        <v>6519</v>
      </c>
      <c r="H529" s="6">
        <f t="shared" si="4"/>
        <v>10178</v>
      </c>
      <c r="I529" s="6">
        <f t="shared" si="5"/>
        <v>24529</v>
      </c>
      <c r="J529" s="6">
        <f t="shared" si="6"/>
        <v>29208</v>
      </c>
      <c r="K529" s="9"/>
      <c r="L529" s="9"/>
      <c r="M529" s="9"/>
      <c r="N529" s="9">
        <f t="shared" si="7"/>
        <v>5.062045061</v>
      </c>
      <c r="O529" s="10">
        <f t="shared" si="8"/>
        <v>26.55315232</v>
      </c>
      <c r="P529" s="9">
        <v>30.0</v>
      </c>
      <c r="Q529" s="11" t="str">
        <f t="shared" si="9"/>
        <v>¡Compra YA!</v>
      </c>
      <c r="R529" s="12"/>
      <c r="S529" s="8"/>
      <c r="T529" s="12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5.75" customHeight="1">
      <c r="A530" s="5" t="s">
        <v>1049</v>
      </c>
      <c r="B530" s="6"/>
      <c r="C530" s="6">
        <f t="shared" si="1"/>
        <v>1433</v>
      </c>
      <c r="D530" s="6">
        <f t="shared" si="42"/>
        <v>122</v>
      </c>
      <c r="E530" s="7">
        <v>0.0</v>
      </c>
      <c r="F530" s="8"/>
      <c r="G530" s="6">
        <f t="shared" si="3"/>
        <v>7526</v>
      </c>
      <c r="H530" s="6">
        <f t="shared" si="4"/>
        <v>12309</v>
      </c>
      <c r="I530" s="6">
        <f t="shared" si="5"/>
        <v>26233</v>
      </c>
      <c r="J530" s="6">
        <f t="shared" si="6"/>
        <v>55055</v>
      </c>
      <c r="K530" s="9"/>
      <c r="L530" s="9"/>
      <c r="M530" s="9"/>
      <c r="N530" s="9">
        <f t="shared" si="7"/>
        <v>38.41939986</v>
      </c>
      <c r="O530" s="10">
        <f t="shared" si="8"/>
        <v>5.712197715</v>
      </c>
      <c r="P530" s="9">
        <v>30.0</v>
      </c>
      <c r="Q530" s="11" t="str">
        <f t="shared" si="9"/>
        <v>¡Compra YA!</v>
      </c>
      <c r="R530" s="12"/>
      <c r="S530" s="8"/>
      <c r="T530" s="12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5.75" customHeight="1">
      <c r="A531" s="5" t="s">
        <v>1050</v>
      </c>
      <c r="B531" s="6" t="s">
        <v>1051</v>
      </c>
      <c r="C531" s="6">
        <f t="shared" si="1"/>
        <v>3795</v>
      </c>
      <c r="D531" s="6">
        <f t="shared" si="42"/>
        <v>178</v>
      </c>
      <c r="E531" s="7">
        <v>0.0</v>
      </c>
      <c r="F531" s="8"/>
      <c r="G531" s="6">
        <f t="shared" si="3"/>
        <v>3733</v>
      </c>
      <c r="H531" s="6">
        <f t="shared" si="4"/>
        <v>15197</v>
      </c>
      <c r="I531" s="6">
        <f t="shared" si="5"/>
        <v>22724</v>
      </c>
      <c r="J531" s="6">
        <f t="shared" si="6"/>
        <v>63616</v>
      </c>
      <c r="K531" s="9"/>
      <c r="L531" s="9"/>
      <c r="M531" s="9"/>
      <c r="N531" s="9">
        <f t="shared" si="7"/>
        <v>16.76310935</v>
      </c>
      <c r="O531" s="10">
        <f t="shared" si="8"/>
        <v>30.49825877</v>
      </c>
      <c r="P531" s="9">
        <v>30.0</v>
      </c>
      <c r="Q531" s="11" t="str">
        <f t="shared" si="9"/>
        <v>cobertura correcta</v>
      </c>
      <c r="R531" s="12"/>
      <c r="S531" s="8"/>
      <c r="T531" s="12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5.75" customHeight="1">
      <c r="A532" s="5" t="s">
        <v>1052</v>
      </c>
      <c r="B532" s="6" t="s">
        <v>1053</v>
      </c>
      <c r="C532" s="6">
        <f t="shared" si="1"/>
        <v>1357</v>
      </c>
      <c r="D532" s="6">
        <f t="shared" si="42"/>
        <v>7</v>
      </c>
      <c r="E532" s="7">
        <v>0.0</v>
      </c>
      <c r="F532" s="8"/>
      <c r="G532" s="6">
        <f t="shared" si="3"/>
        <v>3605</v>
      </c>
      <c r="H532" s="6">
        <f t="shared" si="4"/>
        <v>15905</v>
      </c>
      <c r="I532" s="6">
        <f t="shared" si="5"/>
        <v>26636</v>
      </c>
      <c r="J532" s="6">
        <f t="shared" si="6"/>
        <v>44496</v>
      </c>
      <c r="K532" s="9"/>
      <c r="L532" s="9"/>
      <c r="M532" s="9"/>
      <c r="N532" s="9">
        <f t="shared" si="7"/>
        <v>32.78997789</v>
      </c>
      <c r="O532" s="10">
        <f t="shared" si="8"/>
        <v>11.2926491</v>
      </c>
      <c r="P532" s="9">
        <v>30.0</v>
      </c>
      <c r="Q532" s="11" t="str">
        <f t="shared" si="9"/>
        <v>¡Compra YA!</v>
      </c>
      <c r="R532" s="12"/>
      <c r="S532" s="8"/>
      <c r="T532" s="12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5.75" customHeight="1">
      <c r="A533" s="5" t="s">
        <v>1054</v>
      </c>
      <c r="B533" s="6" t="s">
        <v>1055</v>
      </c>
      <c r="C533" s="6">
        <f t="shared" si="1"/>
        <v>4053</v>
      </c>
      <c r="D533" s="6">
        <f t="shared" si="42"/>
        <v>132</v>
      </c>
      <c r="E533" s="7">
        <v>0.0</v>
      </c>
      <c r="F533" s="8"/>
      <c r="G533" s="6">
        <f t="shared" si="3"/>
        <v>5724</v>
      </c>
      <c r="H533" s="6">
        <f t="shared" si="4"/>
        <v>13542</v>
      </c>
      <c r="I533" s="6">
        <f t="shared" si="5"/>
        <v>22879</v>
      </c>
      <c r="J533" s="6">
        <f t="shared" si="6"/>
        <v>89113</v>
      </c>
      <c r="K533" s="9"/>
      <c r="L533" s="9"/>
      <c r="M533" s="9"/>
      <c r="N533" s="9">
        <f t="shared" si="7"/>
        <v>21.98692327</v>
      </c>
      <c r="O533" s="10">
        <f t="shared" si="8"/>
        <v>21.24213836</v>
      </c>
      <c r="P533" s="9">
        <v>30.0</v>
      </c>
      <c r="Q533" s="11" t="str">
        <f t="shared" si="9"/>
        <v>¡Compra YA!</v>
      </c>
      <c r="R533" s="12"/>
      <c r="S533" s="8"/>
      <c r="T533" s="12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5.75" customHeight="1">
      <c r="A534" s="5" t="s">
        <v>1056</v>
      </c>
      <c r="B534" s="6" t="s">
        <v>1057</v>
      </c>
      <c r="C534" s="6">
        <f t="shared" si="1"/>
        <v>3837</v>
      </c>
      <c r="D534" s="6">
        <f t="shared" si="42"/>
        <v>187</v>
      </c>
      <c r="E534" s="7">
        <v>0.0</v>
      </c>
      <c r="F534" s="8"/>
      <c r="G534" s="6">
        <f t="shared" si="3"/>
        <v>5782</v>
      </c>
      <c r="H534" s="6">
        <f t="shared" si="4"/>
        <v>17194</v>
      </c>
      <c r="I534" s="6">
        <f t="shared" si="5"/>
        <v>19458</v>
      </c>
      <c r="J534" s="6">
        <f t="shared" si="6"/>
        <v>52085</v>
      </c>
      <c r="K534" s="9"/>
      <c r="L534" s="9"/>
      <c r="M534" s="9"/>
      <c r="N534" s="9">
        <f t="shared" si="7"/>
        <v>13.57440709</v>
      </c>
      <c r="O534" s="10">
        <f t="shared" si="8"/>
        <v>19.90833622</v>
      </c>
      <c r="P534" s="9">
        <v>30.0</v>
      </c>
      <c r="Q534" s="11" t="str">
        <f t="shared" si="9"/>
        <v>¡Compra YA!</v>
      </c>
      <c r="R534" s="12"/>
      <c r="S534" s="8"/>
      <c r="T534" s="12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5.75" customHeight="1">
      <c r="A535" s="5" t="s">
        <v>1058</v>
      </c>
      <c r="B535" s="6" t="s">
        <v>1059</v>
      </c>
      <c r="C535" s="6">
        <f t="shared" si="1"/>
        <v>6375</v>
      </c>
      <c r="D535" s="6">
        <f t="shared" si="42"/>
        <v>139</v>
      </c>
      <c r="E535" s="7">
        <v>0.0</v>
      </c>
      <c r="F535" s="8"/>
      <c r="G535" s="6">
        <f t="shared" si="3"/>
        <v>8292</v>
      </c>
      <c r="H535" s="6">
        <f t="shared" si="4"/>
        <v>18832</v>
      </c>
      <c r="I535" s="6">
        <f t="shared" si="5"/>
        <v>24117</v>
      </c>
      <c r="J535" s="6">
        <f t="shared" si="6"/>
        <v>62642</v>
      </c>
      <c r="K535" s="9"/>
      <c r="L535" s="9"/>
      <c r="M535" s="9"/>
      <c r="N535" s="9">
        <f t="shared" si="7"/>
        <v>9.826196078</v>
      </c>
      <c r="O535" s="10">
        <f t="shared" si="8"/>
        <v>23.06439942</v>
      </c>
      <c r="P535" s="9">
        <v>30.0</v>
      </c>
      <c r="Q535" s="11" t="str">
        <f t="shared" si="9"/>
        <v>¡Compra YA!</v>
      </c>
      <c r="R535" s="12"/>
      <c r="S535" s="8"/>
      <c r="T535" s="12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5.75" customHeight="1">
      <c r="A536" s="5" t="s">
        <v>1060</v>
      </c>
      <c r="B536" s="6" t="s">
        <v>1061</v>
      </c>
      <c r="C536" s="6">
        <f t="shared" si="1"/>
        <v>1448</v>
      </c>
      <c r="D536" s="6">
        <f t="shared" si="42"/>
        <v>28</v>
      </c>
      <c r="E536" s="7">
        <v>0.0</v>
      </c>
      <c r="F536" s="8"/>
      <c r="G536" s="6">
        <f t="shared" si="3"/>
        <v>4316</v>
      </c>
      <c r="H536" s="6">
        <f t="shared" si="4"/>
        <v>15291</v>
      </c>
      <c r="I536" s="6">
        <f t="shared" si="5"/>
        <v>27031</v>
      </c>
      <c r="J536" s="6">
        <f t="shared" si="6"/>
        <v>69239</v>
      </c>
      <c r="K536" s="9"/>
      <c r="L536" s="9"/>
      <c r="M536" s="9"/>
      <c r="N536" s="9">
        <f t="shared" si="7"/>
        <v>47.81698895</v>
      </c>
      <c r="O536" s="10">
        <f t="shared" si="8"/>
        <v>10.06487488</v>
      </c>
      <c r="P536" s="9">
        <v>30.0</v>
      </c>
      <c r="Q536" s="11" t="str">
        <f t="shared" si="9"/>
        <v>¡Compra YA!</v>
      </c>
      <c r="R536" s="12"/>
      <c r="S536" s="8"/>
      <c r="T536" s="12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5.75" customHeight="1">
      <c r="A537" s="5" t="s">
        <v>1062</v>
      </c>
      <c r="B537" s="6" t="s">
        <v>1063</v>
      </c>
      <c r="C537" s="6">
        <f t="shared" si="1"/>
        <v>7859</v>
      </c>
      <c r="D537" s="6">
        <f t="shared" si="42"/>
        <v>107</v>
      </c>
      <c r="E537" s="7">
        <v>0.0</v>
      </c>
      <c r="F537" s="8"/>
      <c r="G537" s="6">
        <f t="shared" si="3"/>
        <v>8409</v>
      </c>
      <c r="H537" s="6">
        <f t="shared" si="4"/>
        <v>9538</v>
      </c>
      <c r="I537" s="6">
        <f t="shared" si="5"/>
        <v>20968</v>
      </c>
      <c r="J537" s="6">
        <f t="shared" si="6"/>
        <v>67381</v>
      </c>
      <c r="K537" s="9"/>
      <c r="L537" s="9"/>
      <c r="M537" s="9"/>
      <c r="N537" s="9">
        <f t="shared" si="7"/>
        <v>8.573737117</v>
      </c>
      <c r="O537" s="10">
        <f t="shared" si="8"/>
        <v>28.03781663</v>
      </c>
      <c r="P537" s="9">
        <v>30.0</v>
      </c>
      <c r="Q537" s="11" t="str">
        <f t="shared" si="9"/>
        <v>¡Compra YA!</v>
      </c>
      <c r="R537" s="12"/>
      <c r="S537" s="8"/>
      <c r="T537" s="12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5.75" customHeight="1">
      <c r="A538" s="5" t="s">
        <v>1064</v>
      </c>
      <c r="B538" s="6" t="s">
        <v>1065</v>
      </c>
      <c r="C538" s="6">
        <f t="shared" si="1"/>
        <v>2491</v>
      </c>
      <c r="D538" s="6">
        <f t="shared" si="42"/>
        <v>92</v>
      </c>
      <c r="E538" s="7">
        <v>0.0</v>
      </c>
      <c r="F538" s="8"/>
      <c r="G538" s="6">
        <f t="shared" si="3"/>
        <v>2150</v>
      </c>
      <c r="H538" s="6">
        <f t="shared" si="4"/>
        <v>12027</v>
      </c>
      <c r="I538" s="6">
        <f t="shared" si="5"/>
        <v>24131</v>
      </c>
      <c r="J538" s="6">
        <f t="shared" si="6"/>
        <v>82304</v>
      </c>
      <c r="K538" s="9"/>
      <c r="L538" s="9"/>
      <c r="M538" s="9"/>
      <c r="N538" s="9">
        <f t="shared" si="7"/>
        <v>33.04054597</v>
      </c>
      <c r="O538" s="10">
        <f t="shared" si="8"/>
        <v>34.75813953</v>
      </c>
      <c r="P538" s="9">
        <v>30.0</v>
      </c>
      <c r="Q538" s="11" t="str">
        <f t="shared" si="9"/>
        <v>cobertura correcta</v>
      </c>
      <c r="R538" s="12"/>
      <c r="S538" s="8"/>
      <c r="T538" s="12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5.75" customHeight="1">
      <c r="A539" s="5" t="s">
        <v>1066</v>
      </c>
      <c r="B539" s="6" t="s">
        <v>1067</v>
      </c>
      <c r="C539" s="6">
        <f t="shared" si="1"/>
        <v>5529</v>
      </c>
      <c r="D539" s="6">
        <f t="shared" si="42"/>
        <v>11</v>
      </c>
      <c r="E539" s="7">
        <v>0.0</v>
      </c>
      <c r="F539" s="8"/>
      <c r="G539" s="6">
        <f t="shared" si="3"/>
        <v>8068</v>
      </c>
      <c r="H539" s="6">
        <f t="shared" si="4"/>
        <v>9737</v>
      </c>
      <c r="I539" s="6">
        <f t="shared" si="5"/>
        <v>26848</v>
      </c>
      <c r="J539" s="6">
        <f t="shared" si="6"/>
        <v>63685</v>
      </c>
      <c r="K539" s="9"/>
      <c r="L539" s="9"/>
      <c r="M539" s="9"/>
      <c r="N539" s="9">
        <f t="shared" si="7"/>
        <v>11.51835775</v>
      </c>
      <c r="O539" s="10">
        <f t="shared" si="8"/>
        <v>20.55899851</v>
      </c>
      <c r="P539" s="9">
        <v>30.0</v>
      </c>
      <c r="Q539" s="11" t="str">
        <f t="shared" si="9"/>
        <v>¡Compra YA!</v>
      </c>
      <c r="R539" s="12"/>
      <c r="S539" s="8"/>
      <c r="T539" s="12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5.75" customHeight="1">
      <c r="A540" s="5" t="s">
        <v>1068</v>
      </c>
      <c r="B540" s="6" t="s">
        <v>1069</v>
      </c>
      <c r="C540" s="6">
        <f t="shared" si="1"/>
        <v>3290</v>
      </c>
      <c r="D540" s="6">
        <f t="shared" si="42"/>
        <v>151</v>
      </c>
      <c r="E540" s="7">
        <v>0.0</v>
      </c>
      <c r="F540" s="8"/>
      <c r="G540" s="6">
        <f t="shared" si="3"/>
        <v>6423</v>
      </c>
      <c r="H540" s="6">
        <f t="shared" si="4"/>
        <v>16346</v>
      </c>
      <c r="I540" s="6">
        <f t="shared" si="5"/>
        <v>19842</v>
      </c>
      <c r="J540" s="6">
        <f t="shared" si="6"/>
        <v>30558</v>
      </c>
      <c r="K540" s="9"/>
      <c r="L540" s="9"/>
      <c r="M540" s="9"/>
      <c r="N540" s="9">
        <f t="shared" si="7"/>
        <v>9.288145897</v>
      </c>
      <c r="O540" s="10">
        <f t="shared" si="8"/>
        <v>15.3666511</v>
      </c>
      <c r="P540" s="9">
        <v>30.0</v>
      </c>
      <c r="Q540" s="11" t="str">
        <f t="shared" si="9"/>
        <v>¡Compra YA!</v>
      </c>
      <c r="R540" s="12"/>
      <c r="S540" s="8"/>
      <c r="T540" s="12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5.75" customHeight="1">
      <c r="A541" s="5" t="s">
        <v>1070</v>
      </c>
      <c r="B541" s="6" t="s">
        <v>1071</v>
      </c>
      <c r="C541" s="6">
        <f t="shared" si="1"/>
        <v>4716</v>
      </c>
      <c r="D541" s="6">
        <f t="shared" si="42"/>
        <v>145</v>
      </c>
      <c r="E541" s="7">
        <v>0.0</v>
      </c>
      <c r="F541" s="8"/>
      <c r="G541" s="6">
        <f t="shared" si="3"/>
        <v>7197</v>
      </c>
      <c r="H541" s="6">
        <f t="shared" si="4"/>
        <v>16969</v>
      </c>
      <c r="I541" s="6">
        <f t="shared" si="5"/>
        <v>21865</v>
      </c>
      <c r="J541" s="6">
        <f t="shared" si="6"/>
        <v>42028</v>
      </c>
      <c r="K541" s="9"/>
      <c r="L541" s="9"/>
      <c r="M541" s="9"/>
      <c r="N541" s="9">
        <f t="shared" si="7"/>
        <v>8.911789652</v>
      </c>
      <c r="O541" s="10">
        <f t="shared" si="8"/>
        <v>19.65819091</v>
      </c>
      <c r="P541" s="9">
        <v>30.0</v>
      </c>
      <c r="Q541" s="11" t="str">
        <f t="shared" si="9"/>
        <v>¡Compra YA!</v>
      </c>
      <c r="R541" s="12"/>
      <c r="S541" s="8"/>
      <c r="T541" s="12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5.75" customHeight="1">
      <c r="A542" s="5" t="s">
        <v>1072</v>
      </c>
      <c r="B542" s="6" t="s">
        <v>1073</v>
      </c>
      <c r="C542" s="6">
        <f t="shared" si="1"/>
        <v>1111</v>
      </c>
      <c r="D542" s="6">
        <f t="shared" si="42"/>
        <v>129</v>
      </c>
      <c r="E542" s="7">
        <v>0.0</v>
      </c>
      <c r="F542" s="8"/>
      <c r="G542" s="6">
        <f t="shared" si="3"/>
        <v>5634</v>
      </c>
      <c r="H542" s="6">
        <f t="shared" si="4"/>
        <v>16752</v>
      </c>
      <c r="I542" s="6">
        <f t="shared" si="5"/>
        <v>22069</v>
      </c>
      <c r="J542" s="6">
        <f t="shared" si="6"/>
        <v>30906</v>
      </c>
      <c r="K542" s="9"/>
      <c r="L542" s="9"/>
      <c r="M542" s="9"/>
      <c r="N542" s="9">
        <f t="shared" si="7"/>
        <v>27.81818182</v>
      </c>
      <c r="O542" s="10">
        <f t="shared" si="8"/>
        <v>5.915867945</v>
      </c>
      <c r="P542" s="9">
        <v>30.0</v>
      </c>
      <c r="Q542" s="11" t="str">
        <f t="shared" si="9"/>
        <v>¡Compra YA!</v>
      </c>
      <c r="R542" s="12"/>
      <c r="S542" s="8"/>
      <c r="T542" s="12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5.75" customHeight="1">
      <c r="A543" s="5" t="s">
        <v>1074</v>
      </c>
      <c r="B543" s="6" t="s">
        <v>1075</v>
      </c>
      <c r="C543" s="6">
        <f t="shared" si="1"/>
        <v>7655</v>
      </c>
      <c r="D543" s="6">
        <f t="shared" si="42"/>
        <v>163</v>
      </c>
      <c r="E543" s="7">
        <v>0.0</v>
      </c>
      <c r="F543" s="8"/>
      <c r="G543" s="6">
        <f t="shared" si="3"/>
        <v>2886</v>
      </c>
      <c r="H543" s="6">
        <f t="shared" si="4"/>
        <v>12556</v>
      </c>
      <c r="I543" s="6">
        <f t="shared" si="5"/>
        <v>28782</v>
      </c>
      <c r="J543" s="6">
        <f t="shared" si="6"/>
        <v>51541</v>
      </c>
      <c r="K543" s="9"/>
      <c r="L543" s="9"/>
      <c r="M543" s="9"/>
      <c r="N543" s="9">
        <f t="shared" si="7"/>
        <v>6.732984977</v>
      </c>
      <c r="O543" s="10">
        <f t="shared" si="8"/>
        <v>79.57380457</v>
      </c>
      <c r="P543" s="9">
        <v>30.0</v>
      </c>
      <c r="Q543" s="11" t="str">
        <f t="shared" si="9"/>
        <v>cobertura correcta</v>
      </c>
      <c r="R543" s="12"/>
      <c r="S543" s="8"/>
      <c r="T543" s="12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5.75" customHeight="1">
      <c r="A544" s="5" t="s">
        <v>1076</v>
      </c>
      <c r="B544" s="6" t="s">
        <v>1077</v>
      </c>
      <c r="C544" s="6">
        <f t="shared" si="1"/>
        <v>4728</v>
      </c>
      <c r="D544" s="6">
        <f t="shared" si="42"/>
        <v>81</v>
      </c>
      <c r="E544" s="7">
        <v>0.0</v>
      </c>
      <c r="F544" s="8"/>
      <c r="G544" s="6">
        <f t="shared" si="3"/>
        <v>1090</v>
      </c>
      <c r="H544" s="6">
        <f t="shared" si="4"/>
        <v>17851</v>
      </c>
      <c r="I544" s="6">
        <f t="shared" si="5"/>
        <v>22128</v>
      </c>
      <c r="J544" s="6">
        <f t="shared" si="6"/>
        <v>34370</v>
      </c>
      <c r="K544" s="9"/>
      <c r="L544" s="9"/>
      <c r="M544" s="9"/>
      <c r="N544" s="9">
        <f t="shared" si="7"/>
        <v>7.269458545</v>
      </c>
      <c r="O544" s="10">
        <f t="shared" si="8"/>
        <v>130.1284404</v>
      </c>
      <c r="P544" s="9">
        <v>30.0</v>
      </c>
      <c r="Q544" s="11" t="str">
        <f t="shared" si="9"/>
        <v>cobertura correcta</v>
      </c>
      <c r="R544" s="12"/>
      <c r="S544" s="8"/>
      <c r="T544" s="12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5.75" customHeight="1">
      <c r="A545" s="5" t="s">
        <v>1078</v>
      </c>
      <c r="B545" s="6" t="s">
        <v>1079</v>
      </c>
      <c r="C545" s="6">
        <f t="shared" si="1"/>
        <v>3683</v>
      </c>
      <c r="D545" s="6">
        <f t="shared" si="42"/>
        <v>46</v>
      </c>
      <c r="E545" s="7">
        <v>0.0</v>
      </c>
      <c r="F545" s="8"/>
      <c r="G545" s="6">
        <f t="shared" si="3"/>
        <v>7507</v>
      </c>
      <c r="H545" s="6">
        <f t="shared" si="4"/>
        <v>18451</v>
      </c>
      <c r="I545" s="6">
        <f t="shared" si="5"/>
        <v>28945</v>
      </c>
      <c r="J545" s="6">
        <f t="shared" si="6"/>
        <v>41448</v>
      </c>
      <c r="K545" s="9"/>
      <c r="L545" s="9"/>
      <c r="M545" s="9"/>
      <c r="N545" s="9">
        <f t="shared" si="7"/>
        <v>11.25386913</v>
      </c>
      <c r="O545" s="10">
        <f t="shared" si="8"/>
        <v>14.71826295</v>
      </c>
      <c r="P545" s="9">
        <v>30.0</v>
      </c>
      <c r="Q545" s="11" t="str">
        <f t="shared" si="9"/>
        <v>¡Compra YA!</v>
      </c>
      <c r="R545" s="12"/>
      <c r="S545" s="8"/>
      <c r="T545" s="12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5.75" customHeight="1">
      <c r="A546" s="5" t="s">
        <v>1080</v>
      </c>
      <c r="B546" s="6" t="s">
        <v>1081</v>
      </c>
      <c r="C546" s="6">
        <f t="shared" si="1"/>
        <v>4771</v>
      </c>
      <c r="D546" s="6">
        <f t="shared" si="42"/>
        <v>151</v>
      </c>
      <c r="E546" s="7">
        <v>0.0</v>
      </c>
      <c r="F546" s="8"/>
      <c r="G546" s="6">
        <f t="shared" si="3"/>
        <v>6893</v>
      </c>
      <c r="H546" s="6">
        <f t="shared" si="4"/>
        <v>18879</v>
      </c>
      <c r="I546" s="6">
        <f t="shared" si="5"/>
        <v>22518</v>
      </c>
      <c r="J546" s="6">
        <f t="shared" si="6"/>
        <v>74774</v>
      </c>
      <c r="K546" s="9"/>
      <c r="L546" s="9"/>
      <c r="M546" s="9"/>
      <c r="N546" s="9">
        <f t="shared" si="7"/>
        <v>15.67260532</v>
      </c>
      <c r="O546" s="10">
        <f t="shared" si="8"/>
        <v>20.76454374</v>
      </c>
      <c r="P546" s="9">
        <v>30.0</v>
      </c>
      <c r="Q546" s="11" t="str">
        <f t="shared" si="9"/>
        <v>¡Compra YA!</v>
      </c>
      <c r="R546" s="12"/>
      <c r="S546" s="8"/>
      <c r="T546" s="12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5.75" customHeight="1">
      <c r="A547" s="5" t="s">
        <v>1082</v>
      </c>
      <c r="B547" s="6" t="s">
        <v>1083</v>
      </c>
      <c r="C547" s="6">
        <f t="shared" si="1"/>
        <v>2341</v>
      </c>
      <c r="D547" s="6">
        <f t="shared" si="42"/>
        <v>195</v>
      </c>
      <c r="E547" s="7">
        <v>0.0</v>
      </c>
      <c r="F547" s="8"/>
      <c r="G547" s="6">
        <f t="shared" si="3"/>
        <v>8898</v>
      </c>
      <c r="H547" s="6">
        <f t="shared" si="4"/>
        <v>11224</v>
      </c>
      <c r="I547" s="6">
        <f t="shared" si="5"/>
        <v>22346</v>
      </c>
      <c r="J547" s="6">
        <f t="shared" si="6"/>
        <v>91308</v>
      </c>
      <c r="K547" s="9"/>
      <c r="L547" s="9"/>
      <c r="M547" s="9"/>
      <c r="N547" s="9">
        <f t="shared" si="7"/>
        <v>39.00384451</v>
      </c>
      <c r="O547" s="10">
        <f t="shared" si="8"/>
        <v>7.892784895</v>
      </c>
      <c r="P547" s="9">
        <v>30.0</v>
      </c>
      <c r="Q547" s="11" t="str">
        <f t="shared" si="9"/>
        <v>¡Compra YA!</v>
      </c>
      <c r="R547" s="12"/>
      <c r="S547" s="8"/>
      <c r="T547" s="12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5.75" customHeight="1">
      <c r="A548" s="5" t="s">
        <v>1084</v>
      </c>
      <c r="B548" s="6" t="s">
        <v>1085</v>
      </c>
      <c r="C548" s="6">
        <f t="shared" si="1"/>
        <v>1723</v>
      </c>
      <c r="D548" s="6">
        <f t="shared" si="42"/>
        <v>159</v>
      </c>
      <c r="E548" s="7">
        <v>0.0</v>
      </c>
      <c r="F548" s="8"/>
      <c r="G548" s="6">
        <f t="shared" si="3"/>
        <v>2798</v>
      </c>
      <c r="H548" s="6">
        <f t="shared" si="4"/>
        <v>13538</v>
      </c>
      <c r="I548" s="6">
        <f t="shared" si="5"/>
        <v>27845</v>
      </c>
      <c r="J548" s="6">
        <f t="shared" si="6"/>
        <v>66135</v>
      </c>
      <c r="K548" s="9"/>
      <c r="L548" s="9"/>
      <c r="M548" s="9"/>
      <c r="N548" s="9">
        <f t="shared" si="7"/>
        <v>38.3836332</v>
      </c>
      <c r="O548" s="10">
        <f t="shared" si="8"/>
        <v>18.47390994</v>
      </c>
      <c r="P548" s="9">
        <v>30.0</v>
      </c>
      <c r="Q548" s="11" t="str">
        <f t="shared" si="9"/>
        <v>¡Compra YA!</v>
      </c>
      <c r="R548" s="12"/>
      <c r="S548" s="8"/>
      <c r="T548" s="12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5.75" customHeight="1">
      <c r="A549" s="5" t="s">
        <v>1086</v>
      </c>
      <c r="B549" s="6" t="s">
        <v>1087</v>
      </c>
      <c r="C549" s="6">
        <f t="shared" si="1"/>
        <v>1434</v>
      </c>
      <c r="D549" s="6">
        <f t="shared" si="42"/>
        <v>21</v>
      </c>
      <c r="E549" s="7">
        <v>0.0</v>
      </c>
      <c r="F549" s="8"/>
      <c r="G549" s="6">
        <f t="shared" si="3"/>
        <v>4475</v>
      </c>
      <c r="H549" s="6">
        <f t="shared" si="4"/>
        <v>10975</v>
      </c>
      <c r="I549" s="6">
        <f t="shared" si="5"/>
        <v>22601</v>
      </c>
      <c r="J549" s="6">
        <f t="shared" si="6"/>
        <v>77731</v>
      </c>
      <c r="K549" s="9"/>
      <c r="L549" s="9"/>
      <c r="M549" s="9"/>
      <c r="N549" s="9">
        <f t="shared" si="7"/>
        <v>54.20571827</v>
      </c>
      <c r="O549" s="10">
        <f t="shared" si="8"/>
        <v>9.613407821</v>
      </c>
      <c r="P549" s="9">
        <v>30.0</v>
      </c>
      <c r="Q549" s="11" t="str">
        <f t="shared" si="9"/>
        <v>¡Compra YA!</v>
      </c>
      <c r="R549" s="12"/>
      <c r="S549" s="8"/>
      <c r="T549" s="12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5.75" customHeight="1">
      <c r="A550" s="5" t="s">
        <v>1088</v>
      </c>
      <c r="B550" s="6" t="s">
        <v>1089</v>
      </c>
      <c r="C550" s="6">
        <f t="shared" si="1"/>
        <v>3368</v>
      </c>
      <c r="D550" s="6">
        <f t="shared" si="42"/>
        <v>160</v>
      </c>
      <c r="E550" s="7">
        <v>0.0</v>
      </c>
      <c r="F550" s="8"/>
      <c r="G550" s="6">
        <f t="shared" si="3"/>
        <v>8863</v>
      </c>
      <c r="H550" s="6">
        <f t="shared" si="4"/>
        <v>18392</v>
      </c>
      <c r="I550" s="6">
        <f t="shared" si="5"/>
        <v>27161</v>
      </c>
      <c r="J550" s="6">
        <f t="shared" si="6"/>
        <v>75222</v>
      </c>
      <c r="K550" s="9"/>
      <c r="L550" s="9"/>
      <c r="M550" s="9"/>
      <c r="N550" s="9">
        <f t="shared" si="7"/>
        <v>22.33432304</v>
      </c>
      <c r="O550" s="10">
        <f t="shared" si="8"/>
        <v>11.40020309</v>
      </c>
      <c r="P550" s="9">
        <v>30.0</v>
      </c>
      <c r="Q550" s="11" t="str">
        <f t="shared" si="9"/>
        <v>¡Compra YA!</v>
      </c>
      <c r="R550" s="12"/>
      <c r="S550" s="8"/>
      <c r="T550" s="12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5.75" customHeight="1">
      <c r="A551" s="5" t="s">
        <v>1090</v>
      </c>
      <c r="B551" s="6" t="s">
        <v>1091</v>
      </c>
      <c r="C551" s="6">
        <f t="shared" si="1"/>
        <v>7580</v>
      </c>
      <c r="D551" s="6">
        <f t="shared" si="42"/>
        <v>153</v>
      </c>
      <c r="E551" s="7">
        <v>0.0</v>
      </c>
      <c r="F551" s="8"/>
      <c r="G551" s="6">
        <f t="shared" si="3"/>
        <v>7533</v>
      </c>
      <c r="H551" s="6">
        <f t="shared" si="4"/>
        <v>15431</v>
      </c>
      <c r="I551" s="6">
        <f t="shared" si="5"/>
        <v>26901</v>
      </c>
      <c r="J551" s="6">
        <f t="shared" si="6"/>
        <v>79792</v>
      </c>
      <c r="K551" s="9"/>
      <c r="L551" s="9"/>
      <c r="M551" s="9"/>
      <c r="N551" s="9">
        <f t="shared" si="7"/>
        <v>10.52664908</v>
      </c>
      <c r="O551" s="10">
        <f t="shared" si="8"/>
        <v>30.18717642</v>
      </c>
      <c r="P551" s="9">
        <v>30.0</v>
      </c>
      <c r="Q551" s="11" t="str">
        <f t="shared" si="9"/>
        <v>cobertura correcta</v>
      </c>
      <c r="R551" s="12"/>
      <c r="S551" s="8"/>
      <c r="T551" s="12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5.75" customHeight="1">
      <c r="A552" s="5" t="s">
        <v>1092</v>
      </c>
      <c r="B552" s="6" t="s">
        <v>1093</v>
      </c>
      <c r="C552" s="6">
        <f t="shared" si="1"/>
        <v>5704</v>
      </c>
      <c r="D552" s="6">
        <f t="shared" si="42"/>
        <v>44</v>
      </c>
      <c r="E552" s="7">
        <v>0.0</v>
      </c>
      <c r="F552" s="8"/>
      <c r="G552" s="6">
        <f t="shared" si="3"/>
        <v>5369</v>
      </c>
      <c r="H552" s="6">
        <f t="shared" si="4"/>
        <v>12250</v>
      </c>
      <c r="I552" s="6">
        <f t="shared" si="5"/>
        <v>25221</v>
      </c>
      <c r="J552" s="6">
        <f t="shared" si="6"/>
        <v>33034</v>
      </c>
      <c r="K552" s="9"/>
      <c r="L552" s="9"/>
      <c r="M552" s="9"/>
      <c r="N552" s="9">
        <f t="shared" si="7"/>
        <v>5.791374474</v>
      </c>
      <c r="O552" s="10">
        <f t="shared" si="8"/>
        <v>31.87185696</v>
      </c>
      <c r="P552" s="9">
        <v>30.0</v>
      </c>
      <c r="Q552" s="11" t="str">
        <f t="shared" si="9"/>
        <v>cobertura correcta</v>
      </c>
      <c r="R552" s="12"/>
      <c r="S552" s="8"/>
      <c r="T552" s="12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5.75" customHeight="1">
      <c r="A553" s="5" t="s">
        <v>1094</v>
      </c>
      <c r="B553" s="6" t="s">
        <v>1095</v>
      </c>
      <c r="C553" s="6">
        <f t="shared" si="1"/>
        <v>1861</v>
      </c>
      <c r="D553" s="6">
        <f t="shared" si="42"/>
        <v>41</v>
      </c>
      <c r="E553" s="7">
        <v>0.0</v>
      </c>
      <c r="F553" s="8"/>
      <c r="G553" s="6">
        <f t="shared" si="3"/>
        <v>2200</v>
      </c>
      <c r="H553" s="6">
        <f t="shared" si="4"/>
        <v>16803</v>
      </c>
      <c r="I553" s="6">
        <f t="shared" si="5"/>
        <v>22072</v>
      </c>
      <c r="J553" s="6">
        <f t="shared" si="6"/>
        <v>91818</v>
      </c>
      <c r="K553" s="9"/>
      <c r="L553" s="9"/>
      <c r="M553" s="9"/>
      <c r="N553" s="9">
        <f t="shared" si="7"/>
        <v>49.33799033</v>
      </c>
      <c r="O553" s="10">
        <f t="shared" si="8"/>
        <v>25.37727273</v>
      </c>
      <c r="P553" s="9">
        <v>30.0</v>
      </c>
      <c r="Q553" s="11" t="str">
        <f t="shared" si="9"/>
        <v>¡Compra YA!</v>
      </c>
      <c r="R553" s="12"/>
      <c r="S553" s="8"/>
      <c r="T553" s="12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5.75" customHeight="1">
      <c r="A554" s="5" t="s">
        <v>1096</v>
      </c>
      <c r="B554" s="6" t="s">
        <v>1097</v>
      </c>
      <c r="C554" s="6">
        <f t="shared" si="1"/>
        <v>4774</v>
      </c>
      <c r="D554" s="6">
        <f t="shared" si="42"/>
        <v>67</v>
      </c>
      <c r="E554" s="7">
        <v>0.0</v>
      </c>
      <c r="F554" s="8"/>
      <c r="G554" s="6">
        <f t="shared" si="3"/>
        <v>1407</v>
      </c>
      <c r="H554" s="6">
        <f t="shared" si="4"/>
        <v>17594</v>
      </c>
      <c r="I554" s="6">
        <f t="shared" si="5"/>
        <v>22153</v>
      </c>
      <c r="J554" s="6">
        <f t="shared" si="6"/>
        <v>74942</v>
      </c>
      <c r="K554" s="9"/>
      <c r="L554" s="9"/>
      <c r="M554" s="9"/>
      <c r="N554" s="9">
        <f t="shared" si="7"/>
        <v>15.69794721</v>
      </c>
      <c r="O554" s="10">
        <f t="shared" si="8"/>
        <v>101.7910448</v>
      </c>
      <c r="P554" s="9">
        <v>30.0</v>
      </c>
      <c r="Q554" s="11" t="str">
        <f t="shared" si="9"/>
        <v>cobertura correcta</v>
      </c>
      <c r="R554" s="12"/>
      <c r="S554" s="8"/>
      <c r="T554" s="12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5.75" customHeight="1">
      <c r="A555" s="5" t="s">
        <v>1098</v>
      </c>
      <c r="B555" s="6" t="s">
        <v>1099</v>
      </c>
      <c r="C555" s="6">
        <f t="shared" si="1"/>
        <v>5046</v>
      </c>
      <c r="D555" s="6">
        <f t="shared" si="42"/>
        <v>123</v>
      </c>
      <c r="E555" s="7">
        <v>0.0</v>
      </c>
      <c r="F555" s="8"/>
      <c r="G555" s="6">
        <f t="shared" si="3"/>
        <v>8388</v>
      </c>
      <c r="H555" s="6">
        <f t="shared" si="4"/>
        <v>17371</v>
      </c>
      <c r="I555" s="6">
        <f t="shared" si="5"/>
        <v>23032</v>
      </c>
      <c r="J555" s="6">
        <f t="shared" si="6"/>
        <v>86281</v>
      </c>
      <c r="K555" s="9"/>
      <c r="L555" s="9"/>
      <c r="M555" s="9"/>
      <c r="N555" s="9">
        <f t="shared" si="7"/>
        <v>17.09889021</v>
      </c>
      <c r="O555" s="10">
        <f t="shared" si="8"/>
        <v>18.0472103</v>
      </c>
      <c r="P555" s="9">
        <v>30.0</v>
      </c>
      <c r="Q555" s="11" t="str">
        <f t="shared" si="9"/>
        <v>¡Compra YA!</v>
      </c>
      <c r="R555" s="12"/>
      <c r="S555" s="8"/>
      <c r="T555" s="12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5.75" customHeight="1">
      <c r="A556" s="5" t="s">
        <v>1100</v>
      </c>
      <c r="B556" s="6" t="s">
        <v>1101</v>
      </c>
      <c r="C556" s="6">
        <f t="shared" si="1"/>
        <v>8732</v>
      </c>
      <c r="D556" s="6">
        <f t="shared" si="42"/>
        <v>68</v>
      </c>
      <c r="E556" s="7">
        <v>0.0</v>
      </c>
      <c r="F556" s="8"/>
      <c r="G556" s="6">
        <f t="shared" si="3"/>
        <v>1508</v>
      </c>
      <c r="H556" s="6">
        <f t="shared" si="4"/>
        <v>11697</v>
      </c>
      <c r="I556" s="6">
        <f t="shared" si="5"/>
        <v>21918</v>
      </c>
      <c r="J556" s="6">
        <f t="shared" si="6"/>
        <v>90881</v>
      </c>
      <c r="K556" s="9"/>
      <c r="L556" s="9"/>
      <c r="M556" s="9"/>
      <c r="N556" s="9">
        <f t="shared" si="7"/>
        <v>10.40781035</v>
      </c>
      <c r="O556" s="10">
        <f t="shared" si="8"/>
        <v>173.7135279</v>
      </c>
      <c r="P556" s="9">
        <v>30.0</v>
      </c>
      <c r="Q556" s="11" t="str">
        <f t="shared" si="9"/>
        <v>cobertura correcta</v>
      </c>
      <c r="R556" s="12"/>
      <c r="S556" s="8"/>
      <c r="T556" s="12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5.75" customHeight="1">
      <c r="A557" s="5" t="s">
        <v>1102</v>
      </c>
      <c r="B557" s="6" t="s">
        <v>1103</v>
      </c>
      <c r="C557" s="6">
        <f t="shared" si="1"/>
        <v>5711</v>
      </c>
      <c r="D557" s="6">
        <f t="shared" si="42"/>
        <v>43</v>
      </c>
      <c r="E557" s="7">
        <v>0.0</v>
      </c>
      <c r="F557" s="8"/>
      <c r="G557" s="6">
        <f t="shared" si="3"/>
        <v>2925</v>
      </c>
      <c r="H557" s="6">
        <f t="shared" si="4"/>
        <v>15166</v>
      </c>
      <c r="I557" s="6">
        <f t="shared" si="5"/>
        <v>27487</v>
      </c>
      <c r="J557" s="6">
        <f t="shared" si="6"/>
        <v>41133</v>
      </c>
      <c r="K557" s="9"/>
      <c r="L557" s="9"/>
      <c r="M557" s="9"/>
      <c r="N557" s="9">
        <f t="shared" si="7"/>
        <v>7.202416389</v>
      </c>
      <c r="O557" s="10">
        <f t="shared" si="8"/>
        <v>58.57435897</v>
      </c>
      <c r="P557" s="9">
        <v>30.0</v>
      </c>
      <c r="Q557" s="11" t="str">
        <f t="shared" si="9"/>
        <v>cobertura correcta</v>
      </c>
      <c r="R557" s="12"/>
      <c r="S557" s="8"/>
      <c r="T557" s="12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5.75" customHeight="1">
      <c r="A558" s="5" t="s">
        <v>1104</v>
      </c>
      <c r="B558" s="6" t="s">
        <v>1105</v>
      </c>
      <c r="C558" s="6">
        <f t="shared" si="1"/>
        <v>7991</v>
      </c>
      <c r="D558" s="6">
        <f t="shared" si="42"/>
        <v>14</v>
      </c>
      <c r="E558" s="7">
        <v>0.0</v>
      </c>
      <c r="F558" s="8"/>
      <c r="G558" s="6">
        <f t="shared" si="3"/>
        <v>8349</v>
      </c>
      <c r="H558" s="6">
        <f t="shared" si="4"/>
        <v>15223</v>
      </c>
      <c r="I558" s="6">
        <f t="shared" si="5"/>
        <v>23013</v>
      </c>
      <c r="J558" s="6">
        <f t="shared" si="6"/>
        <v>84203</v>
      </c>
      <c r="K558" s="9"/>
      <c r="L558" s="9"/>
      <c r="M558" s="9"/>
      <c r="N558" s="9">
        <f t="shared" si="7"/>
        <v>10.53722938</v>
      </c>
      <c r="O558" s="10">
        <f t="shared" si="8"/>
        <v>28.7136184</v>
      </c>
      <c r="P558" s="9">
        <v>30.0</v>
      </c>
      <c r="Q558" s="11" t="str">
        <f t="shared" si="9"/>
        <v>¡Compra YA!</v>
      </c>
      <c r="R558" s="12"/>
      <c r="S558" s="8"/>
      <c r="T558" s="12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5.75" customHeight="1">
      <c r="A559" s="5" t="s">
        <v>1106</v>
      </c>
      <c r="B559" s="6"/>
      <c r="C559" s="6">
        <f t="shared" si="1"/>
        <v>8722</v>
      </c>
      <c r="D559" s="6">
        <f t="shared" si="42"/>
        <v>67</v>
      </c>
      <c r="E559" s="7">
        <v>0.0</v>
      </c>
      <c r="F559" s="8"/>
      <c r="G559" s="6">
        <f t="shared" si="3"/>
        <v>6100</v>
      </c>
      <c r="H559" s="6">
        <f t="shared" si="4"/>
        <v>11544</v>
      </c>
      <c r="I559" s="6">
        <f t="shared" si="5"/>
        <v>27009</v>
      </c>
      <c r="J559" s="6">
        <f t="shared" si="6"/>
        <v>46760</v>
      </c>
      <c r="K559" s="9"/>
      <c r="L559" s="9"/>
      <c r="M559" s="9"/>
      <c r="N559" s="9">
        <f t="shared" si="7"/>
        <v>5.361155698</v>
      </c>
      <c r="O559" s="10">
        <f t="shared" si="8"/>
        <v>42.89508197</v>
      </c>
      <c r="P559" s="9">
        <v>30.0</v>
      </c>
      <c r="Q559" s="11" t="str">
        <f t="shared" si="9"/>
        <v>cobertura correcta</v>
      </c>
      <c r="R559" s="12"/>
      <c r="S559" s="8"/>
      <c r="T559" s="12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5.75" customHeight="1">
      <c r="A560" s="5" t="s">
        <v>1107</v>
      </c>
      <c r="B560" s="6" t="s">
        <v>1108</v>
      </c>
      <c r="C560" s="6">
        <f t="shared" si="1"/>
        <v>5060</v>
      </c>
      <c r="D560" s="6">
        <f t="shared" si="42"/>
        <v>172</v>
      </c>
      <c r="E560" s="7">
        <v>0.0</v>
      </c>
      <c r="F560" s="8"/>
      <c r="G560" s="6">
        <f t="shared" si="3"/>
        <v>4861</v>
      </c>
      <c r="H560" s="6">
        <f t="shared" si="4"/>
        <v>18095</v>
      </c>
      <c r="I560" s="6">
        <f t="shared" si="5"/>
        <v>22907</v>
      </c>
      <c r="J560" s="6">
        <f t="shared" si="6"/>
        <v>30774</v>
      </c>
      <c r="K560" s="9"/>
      <c r="L560" s="9"/>
      <c r="M560" s="9"/>
      <c r="N560" s="9">
        <f t="shared" si="7"/>
        <v>6.081818182</v>
      </c>
      <c r="O560" s="10">
        <f t="shared" si="8"/>
        <v>31.22814236</v>
      </c>
      <c r="P560" s="9">
        <v>30.0</v>
      </c>
      <c r="Q560" s="11" t="str">
        <f t="shared" si="9"/>
        <v>cobertura correcta</v>
      </c>
      <c r="R560" s="12"/>
      <c r="S560" s="8"/>
      <c r="T560" s="12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5.75" customHeight="1">
      <c r="A561" s="5" t="s">
        <v>1109</v>
      </c>
      <c r="B561" s="6" t="s">
        <v>1110</v>
      </c>
      <c r="C561" s="6">
        <f t="shared" si="1"/>
        <v>2582</v>
      </c>
      <c r="D561" s="6">
        <f t="shared" si="42"/>
        <v>67</v>
      </c>
      <c r="E561" s="7">
        <v>0.0</v>
      </c>
      <c r="F561" s="8"/>
      <c r="G561" s="6">
        <f t="shared" si="3"/>
        <v>8465</v>
      </c>
      <c r="H561" s="6">
        <f t="shared" si="4"/>
        <v>10252</v>
      </c>
      <c r="I561" s="6">
        <f t="shared" si="5"/>
        <v>26964</v>
      </c>
      <c r="J561" s="6">
        <f t="shared" si="6"/>
        <v>98678</v>
      </c>
      <c r="K561" s="9"/>
      <c r="L561" s="9"/>
      <c r="M561" s="9"/>
      <c r="N561" s="9">
        <f t="shared" si="7"/>
        <v>38.21766073</v>
      </c>
      <c r="O561" s="10">
        <f t="shared" si="8"/>
        <v>9.150620201</v>
      </c>
      <c r="P561" s="9">
        <v>30.0</v>
      </c>
      <c r="Q561" s="11" t="str">
        <f t="shared" si="9"/>
        <v>¡Compra YA!</v>
      </c>
      <c r="R561" s="12"/>
      <c r="S561" s="8"/>
      <c r="T561" s="12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5.75" customHeight="1">
      <c r="A562" s="5" t="s">
        <v>1111</v>
      </c>
      <c r="B562" s="6" t="s">
        <v>1112</v>
      </c>
      <c r="C562" s="6">
        <f t="shared" si="1"/>
        <v>1919</v>
      </c>
      <c r="D562" s="6">
        <f t="shared" si="42"/>
        <v>23</v>
      </c>
      <c r="E562" s="7">
        <v>0.0</v>
      </c>
      <c r="F562" s="8"/>
      <c r="G562" s="6">
        <f t="shared" si="3"/>
        <v>2878</v>
      </c>
      <c r="H562" s="6">
        <f t="shared" si="4"/>
        <v>11067</v>
      </c>
      <c r="I562" s="6">
        <f t="shared" si="5"/>
        <v>25498</v>
      </c>
      <c r="J562" s="6">
        <f t="shared" si="6"/>
        <v>77157</v>
      </c>
      <c r="K562" s="9"/>
      <c r="L562" s="9"/>
      <c r="M562" s="9"/>
      <c r="N562" s="9">
        <f t="shared" si="7"/>
        <v>40.20687858</v>
      </c>
      <c r="O562" s="10">
        <f t="shared" si="8"/>
        <v>20.00347464</v>
      </c>
      <c r="P562" s="9">
        <v>30.0</v>
      </c>
      <c r="Q562" s="11" t="str">
        <f t="shared" si="9"/>
        <v>¡Compra YA!</v>
      </c>
      <c r="R562" s="12"/>
      <c r="S562" s="8"/>
      <c r="T562" s="12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5.75" customHeight="1">
      <c r="A563" s="5" t="s">
        <v>1113</v>
      </c>
      <c r="B563" s="6" t="s">
        <v>1114</v>
      </c>
      <c r="C563" s="6">
        <f t="shared" si="1"/>
        <v>3488</v>
      </c>
      <c r="D563" s="6">
        <f t="shared" si="42"/>
        <v>136</v>
      </c>
      <c r="E563" s="7">
        <v>0.0</v>
      </c>
      <c r="F563" s="8"/>
      <c r="G563" s="6">
        <f t="shared" si="3"/>
        <v>6590</v>
      </c>
      <c r="H563" s="6">
        <f t="shared" si="4"/>
        <v>12394</v>
      </c>
      <c r="I563" s="6">
        <f t="shared" si="5"/>
        <v>26610</v>
      </c>
      <c r="J563" s="6">
        <f t="shared" si="6"/>
        <v>40747</v>
      </c>
      <c r="K563" s="9"/>
      <c r="L563" s="9"/>
      <c r="M563" s="9"/>
      <c r="N563" s="9">
        <f t="shared" si="7"/>
        <v>11.68205275</v>
      </c>
      <c r="O563" s="10">
        <f t="shared" si="8"/>
        <v>15.87860395</v>
      </c>
      <c r="P563" s="9">
        <v>30.0</v>
      </c>
      <c r="Q563" s="11" t="str">
        <f t="shared" si="9"/>
        <v>¡Compra YA!</v>
      </c>
      <c r="R563" s="12"/>
      <c r="S563" s="8"/>
      <c r="T563" s="12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5.75" customHeight="1">
      <c r="A564" s="5" t="s">
        <v>1115</v>
      </c>
      <c r="B564" s="6" t="s">
        <v>1116</v>
      </c>
      <c r="C564" s="6">
        <f t="shared" si="1"/>
        <v>7543</v>
      </c>
      <c r="D564" s="6">
        <f t="shared" si="42"/>
        <v>80</v>
      </c>
      <c r="E564" s="7">
        <v>0.0</v>
      </c>
      <c r="F564" s="8"/>
      <c r="G564" s="6">
        <f t="shared" si="3"/>
        <v>2962</v>
      </c>
      <c r="H564" s="6">
        <f t="shared" si="4"/>
        <v>9134</v>
      </c>
      <c r="I564" s="6">
        <f t="shared" si="5"/>
        <v>27801</v>
      </c>
      <c r="J564" s="6">
        <f t="shared" si="6"/>
        <v>81840</v>
      </c>
      <c r="K564" s="9"/>
      <c r="L564" s="9"/>
      <c r="M564" s="9"/>
      <c r="N564" s="9">
        <f t="shared" si="7"/>
        <v>10.84979451</v>
      </c>
      <c r="O564" s="10">
        <f t="shared" si="8"/>
        <v>76.39770425</v>
      </c>
      <c r="P564" s="9">
        <v>30.0</v>
      </c>
      <c r="Q564" s="11" t="str">
        <f t="shared" si="9"/>
        <v>cobertura correcta</v>
      </c>
      <c r="R564" s="12"/>
      <c r="S564" s="8"/>
      <c r="T564" s="12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5.75" customHeight="1">
      <c r="A565" s="5" t="s">
        <v>1117</v>
      </c>
      <c r="B565" s="6" t="s">
        <v>1118</v>
      </c>
      <c r="C565" s="6">
        <f t="shared" si="1"/>
        <v>6524</v>
      </c>
      <c r="D565" s="6">
        <f t="shared" si="42"/>
        <v>60</v>
      </c>
      <c r="E565" s="7">
        <v>0.0</v>
      </c>
      <c r="F565" s="8"/>
      <c r="G565" s="6">
        <f t="shared" si="3"/>
        <v>2105</v>
      </c>
      <c r="H565" s="6">
        <f t="shared" si="4"/>
        <v>12424</v>
      </c>
      <c r="I565" s="6">
        <f t="shared" si="5"/>
        <v>22407</v>
      </c>
      <c r="J565" s="6">
        <f t="shared" si="6"/>
        <v>51943</v>
      </c>
      <c r="K565" s="9"/>
      <c r="L565" s="9"/>
      <c r="M565" s="9"/>
      <c r="N565" s="9">
        <f t="shared" si="7"/>
        <v>7.961833231</v>
      </c>
      <c r="O565" s="10">
        <f t="shared" si="8"/>
        <v>92.97862233</v>
      </c>
      <c r="P565" s="9">
        <v>30.0</v>
      </c>
      <c r="Q565" s="11" t="str">
        <f t="shared" si="9"/>
        <v>cobertura correcta</v>
      </c>
      <c r="R565" s="12"/>
      <c r="S565" s="8"/>
      <c r="T565" s="12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5.75" customHeight="1">
      <c r="A566" s="5" t="s">
        <v>1119</v>
      </c>
      <c r="B566" s="6" t="s">
        <v>1120</v>
      </c>
      <c r="C566" s="6">
        <f t="shared" si="1"/>
        <v>5887</v>
      </c>
      <c r="D566" s="6">
        <f t="shared" si="42"/>
        <v>84</v>
      </c>
      <c r="E566" s="7">
        <v>0.0</v>
      </c>
      <c r="F566" s="8"/>
      <c r="G566" s="6">
        <f t="shared" si="3"/>
        <v>8402</v>
      </c>
      <c r="H566" s="6">
        <f t="shared" si="4"/>
        <v>13294</v>
      </c>
      <c r="I566" s="6">
        <f t="shared" si="5"/>
        <v>24500</v>
      </c>
      <c r="J566" s="6">
        <f t="shared" si="6"/>
        <v>33378</v>
      </c>
      <c r="K566" s="9"/>
      <c r="L566" s="9"/>
      <c r="M566" s="9"/>
      <c r="N566" s="9">
        <f t="shared" si="7"/>
        <v>5.669780873</v>
      </c>
      <c r="O566" s="10">
        <f t="shared" si="8"/>
        <v>21.01999524</v>
      </c>
      <c r="P566" s="9">
        <v>30.0</v>
      </c>
      <c r="Q566" s="11" t="str">
        <f t="shared" si="9"/>
        <v>¡Compra YA!</v>
      </c>
      <c r="R566" s="12"/>
      <c r="S566" s="8"/>
      <c r="T566" s="12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5.75" customHeight="1">
      <c r="A567" s="5" t="s">
        <v>1121</v>
      </c>
      <c r="B567" s="6" t="s">
        <v>1122</v>
      </c>
      <c r="C567" s="6">
        <f t="shared" si="1"/>
        <v>8908</v>
      </c>
      <c r="D567" s="6">
        <f t="shared" si="42"/>
        <v>75</v>
      </c>
      <c r="E567" s="7">
        <v>0.0</v>
      </c>
      <c r="F567" s="8"/>
      <c r="G567" s="6">
        <f t="shared" si="3"/>
        <v>4540</v>
      </c>
      <c r="H567" s="6">
        <f t="shared" si="4"/>
        <v>18105</v>
      </c>
      <c r="I567" s="6">
        <f t="shared" si="5"/>
        <v>26653</v>
      </c>
      <c r="J567" s="6">
        <f t="shared" si="6"/>
        <v>60971</v>
      </c>
      <c r="K567" s="9"/>
      <c r="L567" s="9"/>
      <c r="M567" s="9"/>
      <c r="N567" s="9">
        <f t="shared" si="7"/>
        <v>6.844521778</v>
      </c>
      <c r="O567" s="10">
        <f t="shared" si="8"/>
        <v>58.86343612</v>
      </c>
      <c r="P567" s="9">
        <v>30.0</v>
      </c>
      <c r="Q567" s="11" t="str">
        <f t="shared" si="9"/>
        <v>cobertura correcta</v>
      </c>
      <c r="R567" s="12"/>
      <c r="S567" s="8"/>
      <c r="T567" s="12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5.75" customHeight="1">
      <c r="A568" s="5" t="s">
        <v>1123</v>
      </c>
      <c r="B568" s="6" t="s">
        <v>1124</v>
      </c>
      <c r="C568" s="6">
        <f t="shared" si="1"/>
        <v>6516</v>
      </c>
      <c r="D568" s="6">
        <f t="shared" si="42"/>
        <v>191</v>
      </c>
      <c r="E568" s="7">
        <v>0.0</v>
      </c>
      <c r="F568" s="8"/>
      <c r="G568" s="6">
        <f t="shared" si="3"/>
        <v>8066</v>
      </c>
      <c r="H568" s="6">
        <f t="shared" si="4"/>
        <v>17044</v>
      </c>
      <c r="I568" s="6">
        <f t="shared" si="5"/>
        <v>22829</v>
      </c>
      <c r="J568" s="6">
        <f t="shared" si="6"/>
        <v>31032</v>
      </c>
      <c r="K568" s="9"/>
      <c r="L568" s="9"/>
      <c r="M568" s="9"/>
      <c r="N568" s="9">
        <f t="shared" si="7"/>
        <v>4.762430939</v>
      </c>
      <c r="O568" s="10">
        <f t="shared" si="8"/>
        <v>24.23506075</v>
      </c>
      <c r="P568" s="9">
        <v>30.0</v>
      </c>
      <c r="Q568" s="11" t="str">
        <f t="shared" si="9"/>
        <v>¡Compra YA!</v>
      </c>
      <c r="R568" s="12"/>
      <c r="S568" s="8"/>
      <c r="T568" s="12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5.75" customHeight="1">
      <c r="A569" s="5" t="s">
        <v>1125</v>
      </c>
      <c r="B569" s="6" t="s">
        <v>1126</v>
      </c>
      <c r="C569" s="6">
        <f t="shared" si="1"/>
        <v>6747</v>
      </c>
      <c r="D569" s="6">
        <f t="shared" si="42"/>
        <v>96</v>
      </c>
      <c r="E569" s="7">
        <v>0.0</v>
      </c>
      <c r="F569" s="8"/>
      <c r="G569" s="6">
        <f t="shared" si="3"/>
        <v>8360</v>
      </c>
      <c r="H569" s="6">
        <f t="shared" si="4"/>
        <v>17782</v>
      </c>
      <c r="I569" s="6">
        <f t="shared" si="5"/>
        <v>25497</v>
      </c>
      <c r="J569" s="6">
        <f t="shared" si="6"/>
        <v>40230</v>
      </c>
      <c r="K569" s="9"/>
      <c r="L569" s="9"/>
      <c r="M569" s="9"/>
      <c r="N569" s="9">
        <f t="shared" si="7"/>
        <v>5.962650067</v>
      </c>
      <c r="O569" s="10">
        <f t="shared" si="8"/>
        <v>24.21172249</v>
      </c>
      <c r="P569" s="9">
        <v>30.0</v>
      </c>
      <c r="Q569" s="11" t="str">
        <f t="shared" si="9"/>
        <v>¡Compra YA!</v>
      </c>
      <c r="R569" s="12"/>
      <c r="S569" s="8"/>
      <c r="T569" s="12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5.75" customHeight="1">
      <c r="A570" s="5" t="s">
        <v>1127</v>
      </c>
      <c r="B570" s="6" t="s">
        <v>1128</v>
      </c>
      <c r="C570" s="6">
        <f t="shared" si="1"/>
        <v>1853</v>
      </c>
      <c r="D570" s="6">
        <f t="shared" si="42"/>
        <v>139</v>
      </c>
      <c r="E570" s="7">
        <v>0.0</v>
      </c>
      <c r="F570" s="8"/>
      <c r="G570" s="6">
        <f t="shared" si="3"/>
        <v>4030</v>
      </c>
      <c r="H570" s="6">
        <f t="shared" si="4"/>
        <v>15770</v>
      </c>
      <c r="I570" s="6">
        <f t="shared" si="5"/>
        <v>23401</v>
      </c>
      <c r="J570" s="6">
        <f t="shared" si="6"/>
        <v>62412</v>
      </c>
      <c r="K570" s="9"/>
      <c r="L570" s="9"/>
      <c r="M570" s="9"/>
      <c r="N570" s="9">
        <f t="shared" si="7"/>
        <v>33.68159741</v>
      </c>
      <c r="O570" s="10">
        <f t="shared" si="8"/>
        <v>13.79404467</v>
      </c>
      <c r="P570" s="9">
        <v>30.0</v>
      </c>
      <c r="Q570" s="11" t="str">
        <f t="shared" si="9"/>
        <v>¡Compra YA!</v>
      </c>
      <c r="R570" s="12"/>
      <c r="S570" s="8"/>
      <c r="T570" s="12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5.75" customHeight="1">
      <c r="A571" s="5" t="s">
        <v>1129</v>
      </c>
      <c r="B571" s="6" t="s">
        <v>1130</v>
      </c>
      <c r="C571" s="6">
        <f t="shared" si="1"/>
        <v>3268</v>
      </c>
      <c r="D571" s="6">
        <f t="shared" si="42"/>
        <v>24</v>
      </c>
      <c r="E571" s="7">
        <v>0.0</v>
      </c>
      <c r="F571" s="8"/>
      <c r="G571" s="6">
        <f t="shared" si="3"/>
        <v>3809</v>
      </c>
      <c r="H571" s="6">
        <f t="shared" si="4"/>
        <v>14026</v>
      </c>
      <c r="I571" s="6">
        <f t="shared" si="5"/>
        <v>23652</v>
      </c>
      <c r="J571" s="6">
        <f t="shared" si="6"/>
        <v>43115</v>
      </c>
      <c r="K571" s="9"/>
      <c r="L571" s="9"/>
      <c r="M571" s="9"/>
      <c r="N571" s="9">
        <f t="shared" si="7"/>
        <v>13.19308446</v>
      </c>
      <c r="O571" s="10">
        <f t="shared" si="8"/>
        <v>25.73903912</v>
      </c>
      <c r="P571" s="9">
        <v>30.0</v>
      </c>
      <c r="Q571" s="11" t="str">
        <f t="shared" si="9"/>
        <v>¡Compra YA!</v>
      </c>
      <c r="R571" s="12"/>
      <c r="S571" s="8"/>
      <c r="T571" s="12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5.75" customHeight="1">
      <c r="A572" s="5" t="s">
        <v>1131</v>
      </c>
      <c r="B572" s="6" t="s">
        <v>1132</v>
      </c>
      <c r="C572" s="6">
        <f t="shared" si="1"/>
        <v>7214</v>
      </c>
      <c r="D572" s="6">
        <f t="shared" si="42"/>
        <v>158</v>
      </c>
      <c r="E572" s="7">
        <v>0.0</v>
      </c>
      <c r="F572" s="8"/>
      <c r="G572" s="6">
        <f t="shared" si="3"/>
        <v>4661</v>
      </c>
      <c r="H572" s="6">
        <f t="shared" si="4"/>
        <v>11774</v>
      </c>
      <c r="I572" s="6">
        <f t="shared" si="5"/>
        <v>27586</v>
      </c>
      <c r="J572" s="6">
        <f t="shared" si="6"/>
        <v>69225</v>
      </c>
      <c r="K572" s="9"/>
      <c r="L572" s="9"/>
      <c r="M572" s="9"/>
      <c r="N572" s="9">
        <f t="shared" si="7"/>
        <v>9.595924591</v>
      </c>
      <c r="O572" s="10">
        <f t="shared" si="8"/>
        <v>46.43209612</v>
      </c>
      <c r="P572" s="9">
        <v>30.0</v>
      </c>
      <c r="Q572" s="11" t="str">
        <f t="shared" si="9"/>
        <v>cobertura correcta</v>
      </c>
      <c r="R572" s="12"/>
      <c r="S572" s="8"/>
      <c r="T572" s="12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5.75" customHeight="1">
      <c r="A573" s="5" t="s">
        <v>1133</v>
      </c>
      <c r="B573" s="6" t="s">
        <v>1134</v>
      </c>
      <c r="C573" s="6">
        <f t="shared" si="1"/>
        <v>4404</v>
      </c>
      <c r="D573" s="6">
        <f t="shared" si="42"/>
        <v>71</v>
      </c>
      <c r="E573" s="7">
        <v>0.0</v>
      </c>
      <c r="F573" s="8"/>
      <c r="G573" s="6">
        <f t="shared" si="3"/>
        <v>4354</v>
      </c>
      <c r="H573" s="6">
        <f t="shared" si="4"/>
        <v>15781</v>
      </c>
      <c r="I573" s="6">
        <f t="shared" si="5"/>
        <v>22286</v>
      </c>
      <c r="J573" s="6">
        <f t="shared" si="6"/>
        <v>60183</v>
      </c>
      <c r="K573" s="9"/>
      <c r="L573" s="9"/>
      <c r="M573" s="9"/>
      <c r="N573" s="9">
        <f t="shared" si="7"/>
        <v>13.66553134</v>
      </c>
      <c r="O573" s="10">
        <f t="shared" si="8"/>
        <v>30.34451079</v>
      </c>
      <c r="P573" s="9">
        <v>30.0</v>
      </c>
      <c r="Q573" s="11" t="str">
        <f t="shared" si="9"/>
        <v>cobertura correcta</v>
      </c>
      <c r="R573" s="12"/>
      <c r="S573" s="8"/>
      <c r="T573" s="12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5.75" customHeight="1">
      <c r="A574" s="5" t="s">
        <v>1135</v>
      </c>
      <c r="B574" s="6" t="s">
        <v>1136</v>
      </c>
      <c r="C574" s="6">
        <f t="shared" si="1"/>
        <v>1288</v>
      </c>
      <c r="D574" s="6">
        <f t="shared" si="42"/>
        <v>142</v>
      </c>
      <c r="E574" s="7">
        <v>0.0</v>
      </c>
      <c r="F574" s="8"/>
      <c r="G574" s="6">
        <f t="shared" si="3"/>
        <v>1457</v>
      </c>
      <c r="H574" s="6">
        <f t="shared" si="4"/>
        <v>16753</v>
      </c>
      <c r="I574" s="6">
        <f t="shared" si="5"/>
        <v>28368</v>
      </c>
      <c r="J574" s="6">
        <f t="shared" si="6"/>
        <v>40275</v>
      </c>
      <c r="K574" s="9"/>
      <c r="L574" s="9"/>
      <c r="M574" s="9"/>
      <c r="N574" s="9">
        <f t="shared" si="7"/>
        <v>31.26940994</v>
      </c>
      <c r="O574" s="10">
        <f t="shared" si="8"/>
        <v>26.52024708</v>
      </c>
      <c r="P574" s="9">
        <v>30.0</v>
      </c>
      <c r="Q574" s="11" t="str">
        <f t="shared" si="9"/>
        <v>¡Compra YA!</v>
      </c>
      <c r="R574" s="12"/>
      <c r="S574" s="8"/>
      <c r="T574" s="12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5.75" customHeight="1">
      <c r="A575" s="5" t="s">
        <v>1137</v>
      </c>
      <c r="B575" s="6" t="s">
        <v>1138</v>
      </c>
      <c r="C575" s="6">
        <f t="shared" si="1"/>
        <v>4070</v>
      </c>
      <c r="D575" s="6">
        <f t="shared" si="42"/>
        <v>46</v>
      </c>
      <c r="E575" s="7">
        <v>0.0</v>
      </c>
      <c r="F575" s="8"/>
      <c r="G575" s="6">
        <f t="shared" si="3"/>
        <v>5495</v>
      </c>
      <c r="H575" s="6">
        <f t="shared" si="4"/>
        <v>15886</v>
      </c>
      <c r="I575" s="6">
        <f t="shared" si="5"/>
        <v>24289</v>
      </c>
      <c r="J575" s="6">
        <f t="shared" si="6"/>
        <v>95736</v>
      </c>
      <c r="K575" s="9"/>
      <c r="L575" s="9"/>
      <c r="M575" s="9"/>
      <c r="N575" s="9">
        <f t="shared" si="7"/>
        <v>23.52235872</v>
      </c>
      <c r="O575" s="10">
        <f t="shared" si="8"/>
        <v>22.22020018</v>
      </c>
      <c r="P575" s="9">
        <v>30.0</v>
      </c>
      <c r="Q575" s="11" t="str">
        <f t="shared" si="9"/>
        <v>¡Compra YA!</v>
      </c>
      <c r="R575" s="12"/>
      <c r="S575" s="8"/>
      <c r="T575" s="12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5.75" customHeight="1">
      <c r="A576" s="5" t="s">
        <v>1139</v>
      </c>
      <c r="B576" s="6" t="s">
        <v>1140</v>
      </c>
      <c r="C576" s="6">
        <f t="shared" si="1"/>
        <v>1428</v>
      </c>
      <c r="D576" s="6">
        <f t="shared" si="42"/>
        <v>132</v>
      </c>
      <c r="E576" s="7">
        <v>0.0</v>
      </c>
      <c r="F576" s="8"/>
      <c r="G576" s="6">
        <f t="shared" si="3"/>
        <v>1610</v>
      </c>
      <c r="H576" s="6">
        <f t="shared" si="4"/>
        <v>11814</v>
      </c>
      <c r="I576" s="6">
        <f t="shared" si="5"/>
        <v>28214</v>
      </c>
      <c r="J576" s="6">
        <f t="shared" si="6"/>
        <v>44318</v>
      </c>
      <c r="K576" s="9"/>
      <c r="L576" s="9"/>
      <c r="M576" s="9"/>
      <c r="N576" s="9">
        <f t="shared" si="7"/>
        <v>31.03501401</v>
      </c>
      <c r="O576" s="10">
        <f t="shared" si="8"/>
        <v>26.60869565</v>
      </c>
      <c r="P576" s="9">
        <v>30.0</v>
      </c>
      <c r="Q576" s="11" t="str">
        <f t="shared" si="9"/>
        <v>¡Compra YA!</v>
      </c>
      <c r="R576" s="12"/>
      <c r="S576" s="8"/>
      <c r="T576" s="12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5.75" customHeight="1">
      <c r="A577" s="5" t="s">
        <v>1141</v>
      </c>
      <c r="B577" s="6" t="s">
        <v>1142</v>
      </c>
      <c r="C577" s="6">
        <f t="shared" si="1"/>
        <v>3146</v>
      </c>
      <c r="D577" s="6">
        <f t="shared" si="42"/>
        <v>21</v>
      </c>
      <c r="E577" s="7">
        <v>0.0</v>
      </c>
      <c r="F577" s="8"/>
      <c r="G577" s="6">
        <f t="shared" si="3"/>
        <v>8332</v>
      </c>
      <c r="H577" s="6">
        <f t="shared" si="4"/>
        <v>15890</v>
      </c>
      <c r="I577" s="6">
        <f t="shared" si="5"/>
        <v>20823</v>
      </c>
      <c r="J577" s="6">
        <f t="shared" si="6"/>
        <v>71465</v>
      </c>
      <c r="K577" s="9"/>
      <c r="L577" s="9"/>
      <c r="M577" s="9"/>
      <c r="N577" s="9">
        <f t="shared" si="7"/>
        <v>22.71614749</v>
      </c>
      <c r="O577" s="10">
        <f t="shared" si="8"/>
        <v>11.32741239</v>
      </c>
      <c r="P577" s="9">
        <v>30.0</v>
      </c>
      <c r="Q577" s="11" t="str">
        <f t="shared" si="9"/>
        <v>¡Compra YA!</v>
      </c>
      <c r="R577" s="12"/>
      <c r="S577" s="8"/>
      <c r="T577" s="12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5.75" customHeight="1">
      <c r="A578" s="5" t="s">
        <v>1143</v>
      </c>
      <c r="B578" s="6" t="s">
        <v>1144</v>
      </c>
      <c r="C578" s="6">
        <f t="shared" si="1"/>
        <v>1959</v>
      </c>
      <c r="D578" s="6">
        <f t="shared" si="42"/>
        <v>64</v>
      </c>
      <c r="E578" s="7">
        <v>0.0</v>
      </c>
      <c r="F578" s="8"/>
      <c r="G578" s="6">
        <f t="shared" si="3"/>
        <v>4668</v>
      </c>
      <c r="H578" s="6">
        <f t="shared" si="4"/>
        <v>13505</v>
      </c>
      <c r="I578" s="6">
        <f t="shared" si="5"/>
        <v>25589</v>
      </c>
      <c r="J578" s="6">
        <f t="shared" si="6"/>
        <v>56370</v>
      </c>
      <c r="K578" s="9"/>
      <c r="L578" s="9"/>
      <c r="M578" s="9"/>
      <c r="N578" s="9">
        <f t="shared" si="7"/>
        <v>28.77488515</v>
      </c>
      <c r="O578" s="10">
        <f t="shared" si="8"/>
        <v>12.58997429</v>
      </c>
      <c r="P578" s="9">
        <v>30.0</v>
      </c>
      <c r="Q578" s="11" t="str">
        <f t="shared" si="9"/>
        <v>¡Compra YA!</v>
      </c>
      <c r="R578" s="12"/>
      <c r="S578" s="8"/>
      <c r="T578" s="12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5.75" customHeight="1">
      <c r="A579" s="5" t="s">
        <v>1145</v>
      </c>
      <c r="B579" s="6" t="s">
        <v>1146</v>
      </c>
      <c r="C579" s="6">
        <f t="shared" si="1"/>
        <v>3486</v>
      </c>
      <c r="D579" s="6">
        <f t="shared" si="42"/>
        <v>29</v>
      </c>
      <c r="E579" s="7">
        <v>0.0</v>
      </c>
      <c r="F579" s="8"/>
      <c r="G579" s="6">
        <f t="shared" si="3"/>
        <v>8666</v>
      </c>
      <c r="H579" s="6">
        <f t="shared" si="4"/>
        <v>11184</v>
      </c>
      <c r="I579" s="6">
        <f t="shared" si="5"/>
        <v>21601</v>
      </c>
      <c r="J579" s="6">
        <f t="shared" si="6"/>
        <v>89348</v>
      </c>
      <c r="K579" s="9"/>
      <c r="L579" s="9"/>
      <c r="M579" s="9"/>
      <c r="N579" s="9">
        <f t="shared" si="7"/>
        <v>25.63052209</v>
      </c>
      <c r="O579" s="10">
        <f t="shared" si="8"/>
        <v>12.06785137</v>
      </c>
      <c r="P579" s="9">
        <v>30.0</v>
      </c>
      <c r="Q579" s="11" t="str">
        <f t="shared" si="9"/>
        <v>¡Compra YA!</v>
      </c>
      <c r="R579" s="12"/>
      <c r="S579" s="8"/>
      <c r="T579" s="12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5.75" customHeight="1">
      <c r="A580" s="5" t="s">
        <v>1147</v>
      </c>
      <c r="B580" s="6" t="s">
        <v>1148</v>
      </c>
      <c r="C580" s="6">
        <f t="shared" si="1"/>
        <v>4024</v>
      </c>
      <c r="D580" s="6">
        <f t="shared" si="42"/>
        <v>99</v>
      </c>
      <c r="E580" s="7">
        <v>0.0</v>
      </c>
      <c r="F580" s="8"/>
      <c r="G580" s="6">
        <f t="shared" si="3"/>
        <v>7192</v>
      </c>
      <c r="H580" s="6">
        <f t="shared" si="4"/>
        <v>11506</v>
      </c>
      <c r="I580" s="6">
        <f t="shared" si="5"/>
        <v>26807</v>
      </c>
      <c r="J580" s="6">
        <f t="shared" si="6"/>
        <v>87199</v>
      </c>
      <c r="K580" s="9"/>
      <c r="L580" s="9"/>
      <c r="M580" s="9"/>
      <c r="N580" s="9">
        <f t="shared" si="7"/>
        <v>21.66973161</v>
      </c>
      <c r="O580" s="10">
        <f t="shared" si="8"/>
        <v>16.78531702</v>
      </c>
      <c r="P580" s="9">
        <v>30.0</v>
      </c>
      <c r="Q580" s="11" t="str">
        <f t="shared" si="9"/>
        <v>¡Compra YA!</v>
      </c>
      <c r="R580" s="12"/>
      <c r="S580" s="8"/>
      <c r="T580" s="12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5.75" customHeight="1">
      <c r="A581" s="5" t="s">
        <v>1149</v>
      </c>
      <c r="B581" s="6" t="s">
        <v>1150</v>
      </c>
      <c r="C581" s="6">
        <f t="shared" si="1"/>
        <v>3123</v>
      </c>
      <c r="D581" s="6">
        <f t="shared" si="42"/>
        <v>167</v>
      </c>
      <c r="E581" s="7">
        <v>0.0</v>
      </c>
      <c r="F581" s="8"/>
      <c r="G581" s="6">
        <f t="shared" si="3"/>
        <v>1630</v>
      </c>
      <c r="H581" s="6">
        <f t="shared" si="4"/>
        <v>12004</v>
      </c>
      <c r="I581" s="6">
        <f t="shared" si="5"/>
        <v>21253</v>
      </c>
      <c r="J581" s="6">
        <f t="shared" si="6"/>
        <v>87612</v>
      </c>
      <c r="K581" s="9"/>
      <c r="L581" s="9"/>
      <c r="M581" s="9"/>
      <c r="N581" s="9">
        <f t="shared" si="7"/>
        <v>28.05379443</v>
      </c>
      <c r="O581" s="10">
        <f t="shared" si="8"/>
        <v>57.47852761</v>
      </c>
      <c r="P581" s="9">
        <v>30.0</v>
      </c>
      <c r="Q581" s="11" t="str">
        <f t="shared" si="9"/>
        <v>cobertura correcta</v>
      </c>
      <c r="R581" s="12"/>
      <c r="S581" s="8"/>
      <c r="T581" s="12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5.75" customHeight="1">
      <c r="A582" s="5" t="s">
        <v>1151</v>
      </c>
      <c r="B582" s="6" t="s">
        <v>1152</v>
      </c>
      <c r="C582" s="6">
        <f t="shared" si="1"/>
        <v>5449</v>
      </c>
      <c r="D582" s="6">
        <f t="shared" si="42"/>
        <v>11</v>
      </c>
      <c r="E582" s="7">
        <v>0.0</v>
      </c>
      <c r="F582" s="8"/>
      <c r="G582" s="6">
        <f t="shared" si="3"/>
        <v>1883</v>
      </c>
      <c r="H582" s="6">
        <f t="shared" si="4"/>
        <v>9625</v>
      </c>
      <c r="I582" s="6">
        <f t="shared" si="5"/>
        <v>24618</v>
      </c>
      <c r="J582" s="6">
        <f t="shared" si="6"/>
        <v>37292</v>
      </c>
      <c r="K582" s="9"/>
      <c r="L582" s="9"/>
      <c r="M582" s="9"/>
      <c r="N582" s="9">
        <f t="shared" si="7"/>
        <v>6.843824555</v>
      </c>
      <c r="O582" s="10">
        <f t="shared" si="8"/>
        <v>86.81359533</v>
      </c>
      <c r="P582" s="9">
        <v>30.0</v>
      </c>
      <c r="Q582" s="11" t="str">
        <f t="shared" si="9"/>
        <v>cobertura correcta</v>
      </c>
      <c r="R582" s="12"/>
      <c r="S582" s="8"/>
      <c r="T582" s="12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5.75" customHeight="1">
      <c r="A583" s="5" t="s">
        <v>1153</v>
      </c>
      <c r="B583" s="6" t="s">
        <v>1154</v>
      </c>
      <c r="C583" s="6">
        <f t="shared" si="1"/>
        <v>4921</v>
      </c>
      <c r="D583" s="6">
        <f t="shared" si="42"/>
        <v>163</v>
      </c>
      <c r="E583" s="7">
        <v>0.0</v>
      </c>
      <c r="F583" s="8"/>
      <c r="G583" s="6">
        <f t="shared" si="3"/>
        <v>4297</v>
      </c>
      <c r="H583" s="6">
        <f t="shared" si="4"/>
        <v>16992</v>
      </c>
      <c r="I583" s="6">
        <f t="shared" si="5"/>
        <v>26148</v>
      </c>
      <c r="J583" s="6">
        <f t="shared" si="6"/>
        <v>38464</v>
      </c>
      <c r="K583" s="9"/>
      <c r="L583" s="9"/>
      <c r="M583" s="9"/>
      <c r="N583" s="9">
        <f t="shared" si="7"/>
        <v>7.816297501</v>
      </c>
      <c r="O583" s="10">
        <f t="shared" si="8"/>
        <v>34.35652781</v>
      </c>
      <c r="P583" s="9">
        <v>30.0</v>
      </c>
      <c r="Q583" s="11" t="str">
        <f t="shared" si="9"/>
        <v>cobertura correcta</v>
      </c>
      <c r="R583" s="12"/>
      <c r="S583" s="8"/>
      <c r="T583" s="12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5.75" customHeight="1">
      <c r="A584" s="5" t="s">
        <v>1155</v>
      </c>
      <c r="B584" s="6" t="s">
        <v>1156</v>
      </c>
      <c r="C584" s="6">
        <f t="shared" si="1"/>
        <v>3104</v>
      </c>
      <c r="D584" s="6">
        <f t="shared" si="42"/>
        <v>89</v>
      </c>
      <c r="E584" s="7">
        <v>0.0</v>
      </c>
      <c r="F584" s="8"/>
      <c r="G584" s="6">
        <f t="shared" si="3"/>
        <v>4919</v>
      </c>
      <c r="H584" s="6">
        <f t="shared" si="4"/>
        <v>9332</v>
      </c>
      <c r="I584" s="6">
        <f t="shared" si="5"/>
        <v>21445</v>
      </c>
      <c r="J584" s="6">
        <f t="shared" si="6"/>
        <v>94788</v>
      </c>
      <c r="K584" s="9"/>
      <c r="L584" s="9"/>
      <c r="M584" s="9"/>
      <c r="N584" s="9">
        <f t="shared" si="7"/>
        <v>30.53737113</v>
      </c>
      <c r="O584" s="10">
        <f t="shared" si="8"/>
        <v>18.93067697</v>
      </c>
      <c r="P584" s="9">
        <v>30.0</v>
      </c>
      <c r="Q584" s="11" t="str">
        <f t="shared" si="9"/>
        <v>¡Compra YA!</v>
      </c>
      <c r="R584" s="12"/>
      <c r="S584" s="8"/>
      <c r="T584" s="12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5.75" customHeight="1">
      <c r="A585" s="5" t="s">
        <v>1157</v>
      </c>
      <c r="B585" s="6" t="s">
        <v>1158</v>
      </c>
      <c r="C585" s="6">
        <f t="shared" si="1"/>
        <v>3328</v>
      </c>
      <c r="D585" s="6">
        <f t="shared" si="42"/>
        <v>171</v>
      </c>
      <c r="E585" s="7">
        <v>0.0</v>
      </c>
      <c r="F585" s="8"/>
      <c r="G585" s="6">
        <f t="shared" si="3"/>
        <v>2684</v>
      </c>
      <c r="H585" s="6">
        <f t="shared" si="4"/>
        <v>17728</v>
      </c>
      <c r="I585" s="6">
        <f t="shared" si="5"/>
        <v>21967</v>
      </c>
      <c r="J585" s="6">
        <f t="shared" si="6"/>
        <v>71071</v>
      </c>
      <c r="K585" s="9"/>
      <c r="L585" s="9"/>
      <c r="M585" s="9"/>
      <c r="N585" s="9">
        <f t="shared" si="7"/>
        <v>21.35546875</v>
      </c>
      <c r="O585" s="10">
        <f t="shared" si="8"/>
        <v>37.19821162</v>
      </c>
      <c r="P585" s="9">
        <v>30.0</v>
      </c>
      <c r="Q585" s="11" t="str">
        <f t="shared" si="9"/>
        <v>cobertura correcta</v>
      </c>
      <c r="R585" s="12"/>
      <c r="S585" s="8"/>
      <c r="T585" s="12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5.75" customHeight="1">
      <c r="A586" s="5" t="s">
        <v>1159</v>
      </c>
      <c r="B586" s="6" t="s">
        <v>1160</v>
      </c>
      <c r="C586" s="6">
        <f t="shared" si="1"/>
        <v>8974</v>
      </c>
      <c r="D586" s="6">
        <f t="shared" si="42"/>
        <v>65</v>
      </c>
      <c r="E586" s="7">
        <v>0.0</v>
      </c>
      <c r="F586" s="8"/>
      <c r="G586" s="6">
        <f t="shared" si="3"/>
        <v>6419</v>
      </c>
      <c r="H586" s="6">
        <f t="shared" si="4"/>
        <v>13180</v>
      </c>
      <c r="I586" s="6">
        <f t="shared" si="5"/>
        <v>27664</v>
      </c>
      <c r="J586" s="6">
        <f t="shared" si="6"/>
        <v>30463</v>
      </c>
      <c r="K586" s="9"/>
      <c r="L586" s="9"/>
      <c r="M586" s="9"/>
      <c r="N586" s="9">
        <f t="shared" si="7"/>
        <v>3.394584355</v>
      </c>
      <c r="O586" s="10">
        <f t="shared" si="8"/>
        <v>41.94111232</v>
      </c>
      <c r="P586" s="9">
        <v>30.0</v>
      </c>
      <c r="Q586" s="11" t="str">
        <f t="shared" si="9"/>
        <v>cobertura correcta</v>
      </c>
      <c r="R586" s="12"/>
      <c r="S586" s="8"/>
      <c r="T586" s="12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5.75" customHeight="1">
      <c r="A587" s="5" t="s">
        <v>1161</v>
      </c>
      <c r="B587" s="6" t="s">
        <v>1162</v>
      </c>
      <c r="C587" s="6">
        <f t="shared" si="1"/>
        <v>3651</v>
      </c>
      <c r="D587" s="6">
        <f t="shared" si="42"/>
        <v>122</v>
      </c>
      <c r="E587" s="7">
        <v>0.0</v>
      </c>
      <c r="F587" s="8"/>
      <c r="G587" s="6">
        <f t="shared" si="3"/>
        <v>5769</v>
      </c>
      <c r="H587" s="6">
        <f t="shared" si="4"/>
        <v>13755</v>
      </c>
      <c r="I587" s="6">
        <f t="shared" si="5"/>
        <v>26810</v>
      </c>
      <c r="J587" s="6">
        <f t="shared" si="6"/>
        <v>61092</v>
      </c>
      <c r="K587" s="9"/>
      <c r="L587" s="9"/>
      <c r="M587" s="9"/>
      <c r="N587" s="9">
        <f t="shared" si="7"/>
        <v>16.73294988</v>
      </c>
      <c r="O587" s="10">
        <f t="shared" si="8"/>
        <v>18.98595944</v>
      </c>
      <c r="P587" s="9">
        <v>30.0</v>
      </c>
      <c r="Q587" s="11" t="str">
        <f t="shared" si="9"/>
        <v>¡Compra YA!</v>
      </c>
      <c r="R587" s="12"/>
      <c r="S587" s="8"/>
      <c r="T587" s="12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5.75" customHeight="1">
      <c r="A588" s="5" t="s">
        <v>1163</v>
      </c>
      <c r="B588" s="6" t="s">
        <v>1164</v>
      </c>
      <c r="C588" s="6">
        <f t="shared" si="1"/>
        <v>2033</v>
      </c>
      <c r="D588" s="6">
        <f t="shared" si="42"/>
        <v>66</v>
      </c>
      <c r="E588" s="7">
        <v>0.0</v>
      </c>
      <c r="F588" s="8"/>
      <c r="G588" s="6">
        <f t="shared" si="3"/>
        <v>4875</v>
      </c>
      <c r="H588" s="6">
        <f t="shared" si="4"/>
        <v>11152</v>
      </c>
      <c r="I588" s="6">
        <f t="shared" si="5"/>
        <v>22517</v>
      </c>
      <c r="J588" s="6">
        <f t="shared" si="6"/>
        <v>76364</v>
      </c>
      <c r="K588" s="9"/>
      <c r="L588" s="9"/>
      <c r="M588" s="9"/>
      <c r="N588" s="9">
        <f t="shared" si="7"/>
        <v>37.56222332</v>
      </c>
      <c r="O588" s="10">
        <f t="shared" si="8"/>
        <v>12.51076923</v>
      </c>
      <c r="P588" s="9">
        <v>30.0</v>
      </c>
      <c r="Q588" s="11" t="str">
        <f t="shared" si="9"/>
        <v>¡Compra YA!</v>
      </c>
      <c r="R588" s="12"/>
      <c r="S588" s="8"/>
      <c r="T588" s="12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5.75" customHeight="1">
      <c r="A589" s="5" t="s">
        <v>1165</v>
      </c>
      <c r="B589" s="6" t="s">
        <v>1166</v>
      </c>
      <c r="C589" s="6">
        <f t="shared" si="1"/>
        <v>1660</v>
      </c>
      <c r="D589" s="6">
        <f t="shared" si="42"/>
        <v>65</v>
      </c>
      <c r="E589" s="7">
        <v>0.0</v>
      </c>
      <c r="F589" s="8"/>
      <c r="G589" s="6">
        <f t="shared" si="3"/>
        <v>4989</v>
      </c>
      <c r="H589" s="6">
        <f t="shared" si="4"/>
        <v>16492</v>
      </c>
      <c r="I589" s="6">
        <f t="shared" si="5"/>
        <v>28540</v>
      </c>
      <c r="J589" s="6">
        <f t="shared" si="6"/>
        <v>36421</v>
      </c>
      <c r="K589" s="9"/>
      <c r="L589" s="9"/>
      <c r="M589" s="9"/>
      <c r="N589" s="9">
        <f t="shared" si="7"/>
        <v>21.94036145</v>
      </c>
      <c r="O589" s="10">
        <f t="shared" si="8"/>
        <v>9.981960313</v>
      </c>
      <c r="P589" s="9">
        <v>30.0</v>
      </c>
      <c r="Q589" s="11" t="str">
        <f t="shared" si="9"/>
        <v>¡Compra YA!</v>
      </c>
      <c r="R589" s="12"/>
      <c r="S589" s="8"/>
      <c r="T589" s="12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5.75" customHeight="1">
      <c r="A590" s="5" t="s">
        <v>1167</v>
      </c>
      <c r="B590" s="6" t="s">
        <v>1168</v>
      </c>
      <c r="C590" s="6">
        <f t="shared" si="1"/>
        <v>3150</v>
      </c>
      <c r="D590" s="6">
        <f t="shared" si="42"/>
        <v>131</v>
      </c>
      <c r="E590" s="7">
        <v>0.0</v>
      </c>
      <c r="F590" s="8"/>
      <c r="G590" s="6">
        <f t="shared" si="3"/>
        <v>3559</v>
      </c>
      <c r="H590" s="6">
        <f t="shared" si="4"/>
        <v>14095</v>
      </c>
      <c r="I590" s="6">
        <f t="shared" si="5"/>
        <v>22913</v>
      </c>
      <c r="J590" s="6">
        <f t="shared" si="6"/>
        <v>35347</v>
      </c>
      <c r="K590" s="9"/>
      <c r="L590" s="9"/>
      <c r="M590" s="9"/>
      <c r="N590" s="9">
        <f t="shared" si="7"/>
        <v>11.22126984</v>
      </c>
      <c r="O590" s="10">
        <f t="shared" si="8"/>
        <v>26.55240236</v>
      </c>
      <c r="P590" s="9">
        <v>30.0</v>
      </c>
      <c r="Q590" s="11" t="str">
        <f t="shared" si="9"/>
        <v>¡Compra YA!</v>
      </c>
      <c r="R590" s="12"/>
      <c r="S590" s="8"/>
      <c r="T590" s="12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5.75" customHeight="1">
      <c r="A591" s="5" t="s">
        <v>1169</v>
      </c>
      <c r="B591" s="6" t="s">
        <v>1170</v>
      </c>
      <c r="C591" s="6">
        <f t="shared" si="1"/>
        <v>8637</v>
      </c>
      <c r="D591" s="6">
        <f t="shared" si="42"/>
        <v>119</v>
      </c>
      <c r="E591" s="7">
        <v>0.0</v>
      </c>
      <c r="F591" s="8"/>
      <c r="G591" s="6">
        <f t="shared" si="3"/>
        <v>5284</v>
      </c>
      <c r="H591" s="6">
        <f t="shared" si="4"/>
        <v>17636</v>
      </c>
      <c r="I591" s="6">
        <f t="shared" si="5"/>
        <v>27311</v>
      </c>
      <c r="J591" s="6">
        <f t="shared" si="6"/>
        <v>86874</v>
      </c>
      <c r="K591" s="9"/>
      <c r="L591" s="9"/>
      <c r="M591" s="9"/>
      <c r="N591" s="9">
        <f t="shared" si="7"/>
        <v>10.05835359</v>
      </c>
      <c r="O591" s="10">
        <f t="shared" si="8"/>
        <v>49.03671461</v>
      </c>
      <c r="P591" s="9">
        <v>30.0</v>
      </c>
      <c r="Q591" s="11" t="str">
        <f t="shared" si="9"/>
        <v>cobertura correcta</v>
      </c>
      <c r="R591" s="12"/>
      <c r="S591" s="8"/>
      <c r="T591" s="12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5.75" customHeight="1">
      <c r="A592" s="5" t="s">
        <v>1171</v>
      </c>
      <c r="B592" s="6" t="s">
        <v>1172</v>
      </c>
      <c r="C592" s="6">
        <f t="shared" si="1"/>
        <v>8185</v>
      </c>
      <c r="D592" s="6">
        <f t="shared" si="42"/>
        <v>28</v>
      </c>
      <c r="E592" s="7">
        <v>0.0</v>
      </c>
      <c r="F592" s="8"/>
      <c r="G592" s="6">
        <f t="shared" si="3"/>
        <v>3389</v>
      </c>
      <c r="H592" s="6">
        <f t="shared" si="4"/>
        <v>16071</v>
      </c>
      <c r="I592" s="6">
        <f t="shared" si="5"/>
        <v>28745</v>
      </c>
      <c r="J592" s="6">
        <f t="shared" si="6"/>
        <v>44671</v>
      </c>
      <c r="K592" s="9"/>
      <c r="L592" s="9"/>
      <c r="M592" s="9"/>
      <c r="N592" s="9">
        <f t="shared" si="7"/>
        <v>5.457666463</v>
      </c>
      <c r="O592" s="10">
        <f t="shared" si="8"/>
        <v>72.45500148</v>
      </c>
      <c r="P592" s="9">
        <v>30.0</v>
      </c>
      <c r="Q592" s="11" t="str">
        <f t="shared" si="9"/>
        <v>cobertura correcta</v>
      </c>
      <c r="R592" s="12"/>
      <c r="S592" s="8"/>
      <c r="T592" s="12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5.75" customHeight="1">
      <c r="A593" s="5" t="s">
        <v>1173</v>
      </c>
      <c r="B593" s="6" t="s">
        <v>1174</v>
      </c>
      <c r="C593" s="6">
        <f t="shared" si="1"/>
        <v>3818</v>
      </c>
      <c r="D593" s="6">
        <f t="shared" si="42"/>
        <v>194</v>
      </c>
      <c r="E593" s="7">
        <v>0.0</v>
      </c>
      <c r="F593" s="8"/>
      <c r="G593" s="6">
        <f t="shared" si="3"/>
        <v>7662</v>
      </c>
      <c r="H593" s="6">
        <f t="shared" si="4"/>
        <v>18008</v>
      </c>
      <c r="I593" s="6">
        <f t="shared" si="5"/>
        <v>24430</v>
      </c>
      <c r="J593" s="6">
        <f t="shared" si="6"/>
        <v>31633</v>
      </c>
      <c r="K593" s="9"/>
      <c r="L593" s="9"/>
      <c r="M593" s="9"/>
      <c r="N593" s="9">
        <f t="shared" si="7"/>
        <v>8.285227868</v>
      </c>
      <c r="O593" s="10">
        <f t="shared" si="8"/>
        <v>14.94909945</v>
      </c>
      <c r="P593" s="9">
        <v>30.0</v>
      </c>
      <c r="Q593" s="11" t="str">
        <f t="shared" si="9"/>
        <v>¡Compra YA!</v>
      </c>
      <c r="R593" s="12"/>
      <c r="S593" s="8"/>
      <c r="T593" s="12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5.75" customHeight="1">
      <c r="A594" s="5" t="s">
        <v>1175</v>
      </c>
      <c r="B594" s="6" t="s">
        <v>1176</v>
      </c>
      <c r="C594" s="6">
        <f t="shared" si="1"/>
        <v>4609</v>
      </c>
      <c r="D594" s="6">
        <f t="shared" si="42"/>
        <v>66</v>
      </c>
      <c r="E594" s="7">
        <v>0.0</v>
      </c>
      <c r="F594" s="8"/>
      <c r="G594" s="6">
        <f t="shared" si="3"/>
        <v>2315</v>
      </c>
      <c r="H594" s="6">
        <f t="shared" si="4"/>
        <v>18681</v>
      </c>
      <c r="I594" s="6">
        <f t="shared" si="5"/>
        <v>19796</v>
      </c>
      <c r="J594" s="6">
        <f t="shared" si="6"/>
        <v>43369</v>
      </c>
      <c r="K594" s="9"/>
      <c r="L594" s="9"/>
      <c r="M594" s="9"/>
      <c r="N594" s="9">
        <f t="shared" si="7"/>
        <v>9.409633326</v>
      </c>
      <c r="O594" s="10">
        <f t="shared" si="8"/>
        <v>59.72786177</v>
      </c>
      <c r="P594" s="9">
        <v>30.0</v>
      </c>
      <c r="Q594" s="11" t="str">
        <f t="shared" si="9"/>
        <v>cobertura correcta</v>
      </c>
      <c r="R594" s="12"/>
      <c r="S594" s="8"/>
      <c r="T594" s="12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5.75" customHeight="1">
      <c r="A595" s="5" t="s">
        <v>1177</v>
      </c>
      <c r="B595" s="6" t="s">
        <v>1178</v>
      </c>
      <c r="C595" s="6">
        <f t="shared" si="1"/>
        <v>1923</v>
      </c>
      <c r="D595" s="6">
        <f t="shared" si="42"/>
        <v>182</v>
      </c>
      <c r="E595" s="7">
        <v>0.0</v>
      </c>
      <c r="F595" s="8"/>
      <c r="G595" s="6">
        <f t="shared" si="3"/>
        <v>6895</v>
      </c>
      <c r="H595" s="6">
        <f t="shared" si="4"/>
        <v>18425</v>
      </c>
      <c r="I595" s="6">
        <f t="shared" si="5"/>
        <v>20100</v>
      </c>
      <c r="J595" s="6">
        <f t="shared" si="6"/>
        <v>77663</v>
      </c>
      <c r="K595" s="9"/>
      <c r="L595" s="9"/>
      <c r="M595" s="9"/>
      <c r="N595" s="9">
        <f t="shared" si="7"/>
        <v>40.38637546</v>
      </c>
      <c r="O595" s="10">
        <f t="shared" si="8"/>
        <v>8.36693256</v>
      </c>
      <c r="P595" s="9">
        <v>30.0</v>
      </c>
      <c r="Q595" s="11" t="str">
        <f t="shared" si="9"/>
        <v>¡Compra YA!</v>
      </c>
      <c r="R595" s="12"/>
      <c r="S595" s="8"/>
      <c r="T595" s="12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5.75" customHeight="1">
      <c r="A596" s="5" t="s">
        <v>1179</v>
      </c>
      <c r="B596" s="6" t="s">
        <v>1180</v>
      </c>
      <c r="C596" s="6">
        <f t="shared" si="1"/>
        <v>7173</v>
      </c>
      <c r="D596" s="6">
        <f t="shared" si="42"/>
        <v>11</v>
      </c>
      <c r="E596" s="7">
        <v>0.0</v>
      </c>
      <c r="F596" s="8"/>
      <c r="G596" s="6">
        <f t="shared" si="3"/>
        <v>3247</v>
      </c>
      <c r="H596" s="6">
        <f t="shared" si="4"/>
        <v>10286</v>
      </c>
      <c r="I596" s="6">
        <f t="shared" si="5"/>
        <v>20703</v>
      </c>
      <c r="J596" s="6">
        <f t="shared" si="6"/>
        <v>52102</v>
      </c>
      <c r="K596" s="9"/>
      <c r="L596" s="9"/>
      <c r="M596" s="9"/>
      <c r="N596" s="9">
        <f t="shared" si="7"/>
        <v>7.263627492</v>
      </c>
      <c r="O596" s="10">
        <f t="shared" si="8"/>
        <v>66.27348322</v>
      </c>
      <c r="P596" s="9">
        <v>30.0</v>
      </c>
      <c r="Q596" s="11" t="str">
        <f t="shared" si="9"/>
        <v>cobertura correcta</v>
      </c>
      <c r="R596" s="12"/>
      <c r="S596" s="8"/>
      <c r="T596" s="12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5" t="s">
        <v>1181</v>
      </c>
      <c r="B597" s="6" t="s">
        <v>1182</v>
      </c>
      <c r="C597" s="6">
        <f t="shared" si="1"/>
        <v>7090</v>
      </c>
      <c r="D597" s="6">
        <f t="shared" si="42"/>
        <v>136</v>
      </c>
      <c r="E597" s="7">
        <v>0.0</v>
      </c>
      <c r="F597" s="8"/>
      <c r="G597" s="6">
        <f t="shared" si="3"/>
        <v>7110</v>
      </c>
      <c r="H597" s="6">
        <f t="shared" si="4"/>
        <v>16522</v>
      </c>
      <c r="I597" s="6">
        <f t="shared" si="5"/>
        <v>23742</v>
      </c>
      <c r="J597" s="6">
        <f t="shared" si="6"/>
        <v>64072</v>
      </c>
      <c r="K597" s="9"/>
      <c r="L597" s="9"/>
      <c r="M597" s="9"/>
      <c r="N597" s="9">
        <f t="shared" si="7"/>
        <v>9.036953456</v>
      </c>
      <c r="O597" s="10">
        <f t="shared" si="8"/>
        <v>29.91561181</v>
      </c>
      <c r="P597" s="9">
        <v>30.0</v>
      </c>
      <c r="Q597" s="11" t="str">
        <f t="shared" si="9"/>
        <v>¡Compra YA!</v>
      </c>
      <c r="R597" s="12"/>
      <c r="S597" s="8"/>
      <c r="T597" s="12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5" t="s">
        <v>1183</v>
      </c>
      <c r="B598" s="6" t="s">
        <v>1184</v>
      </c>
      <c r="C598" s="6">
        <f t="shared" si="1"/>
        <v>4925</v>
      </c>
      <c r="D598" s="6">
        <f t="shared" si="42"/>
        <v>10</v>
      </c>
      <c r="E598" s="7">
        <v>0.0</v>
      </c>
      <c r="F598" s="8"/>
      <c r="G598" s="6">
        <f t="shared" si="3"/>
        <v>1888</v>
      </c>
      <c r="H598" s="6">
        <f t="shared" si="4"/>
        <v>17649</v>
      </c>
      <c r="I598" s="6">
        <f t="shared" si="5"/>
        <v>25480</v>
      </c>
      <c r="J598" s="6">
        <f t="shared" si="6"/>
        <v>89374</v>
      </c>
      <c r="K598" s="9"/>
      <c r="L598" s="9"/>
      <c r="M598" s="9"/>
      <c r="N598" s="9">
        <f t="shared" si="7"/>
        <v>18.14700508</v>
      </c>
      <c r="O598" s="10">
        <f t="shared" si="8"/>
        <v>78.25741525</v>
      </c>
      <c r="P598" s="9">
        <v>30.0</v>
      </c>
      <c r="Q598" s="11" t="str">
        <f t="shared" si="9"/>
        <v>cobertura correcta</v>
      </c>
      <c r="R598" s="12"/>
      <c r="S598" s="8"/>
      <c r="T598" s="12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5" t="s">
        <v>1185</v>
      </c>
      <c r="B599" s="6" t="s">
        <v>1186</v>
      </c>
      <c r="C599" s="6">
        <f t="shared" si="1"/>
        <v>4694</v>
      </c>
      <c r="D599" s="6">
        <f t="shared" si="42"/>
        <v>103</v>
      </c>
      <c r="E599" s="7">
        <v>0.0</v>
      </c>
      <c r="F599" s="8"/>
      <c r="G599" s="6">
        <f t="shared" si="3"/>
        <v>3321</v>
      </c>
      <c r="H599" s="6">
        <f t="shared" si="4"/>
        <v>16139</v>
      </c>
      <c r="I599" s="6">
        <f t="shared" si="5"/>
        <v>28774</v>
      </c>
      <c r="J599" s="6">
        <f t="shared" si="6"/>
        <v>62863</v>
      </c>
      <c r="K599" s="9"/>
      <c r="L599" s="9"/>
      <c r="M599" s="9"/>
      <c r="N599" s="9">
        <f t="shared" si="7"/>
        <v>13.39220281</v>
      </c>
      <c r="O599" s="10">
        <f t="shared" si="8"/>
        <v>42.4028907</v>
      </c>
      <c r="P599" s="9">
        <v>30.0</v>
      </c>
      <c r="Q599" s="11" t="str">
        <f t="shared" si="9"/>
        <v>cobertura correcta</v>
      </c>
      <c r="R599" s="12"/>
      <c r="S599" s="8"/>
      <c r="T599" s="12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5" t="s">
        <v>1187</v>
      </c>
      <c r="B600" s="6" t="s">
        <v>1188</v>
      </c>
      <c r="C600" s="6">
        <f t="shared" si="1"/>
        <v>4552</v>
      </c>
      <c r="D600" s="6">
        <f t="shared" si="42"/>
        <v>1</v>
      </c>
      <c r="E600" s="7">
        <v>0.0</v>
      </c>
      <c r="F600" s="8"/>
      <c r="G600" s="6">
        <f t="shared" si="3"/>
        <v>7218</v>
      </c>
      <c r="H600" s="6">
        <f t="shared" si="4"/>
        <v>16050</v>
      </c>
      <c r="I600" s="6">
        <f t="shared" si="5"/>
        <v>20512</v>
      </c>
      <c r="J600" s="6">
        <f t="shared" si="6"/>
        <v>84465</v>
      </c>
      <c r="K600" s="9"/>
      <c r="L600" s="9"/>
      <c r="M600" s="9"/>
      <c r="N600" s="9">
        <f t="shared" si="7"/>
        <v>18.55557996</v>
      </c>
      <c r="O600" s="10">
        <f t="shared" si="8"/>
        <v>18.91936825</v>
      </c>
      <c r="P600" s="9">
        <v>30.0</v>
      </c>
      <c r="Q600" s="11" t="str">
        <f t="shared" si="9"/>
        <v>¡Compra YA!</v>
      </c>
      <c r="R600" s="12"/>
      <c r="S600" s="8"/>
      <c r="T600" s="12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5" t="s">
        <v>1189</v>
      </c>
      <c r="B601" s="6" t="s">
        <v>1190</v>
      </c>
      <c r="C601" s="6">
        <f t="shared" si="1"/>
        <v>5352</v>
      </c>
      <c r="D601" s="6">
        <f t="shared" si="42"/>
        <v>109</v>
      </c>
      <c r="E601" s="7">
        <v>0.0</v>
      </c>
      <c r="F601" s="8"/>
      <c r="G601" s="6">
        <f t="shared" si="3"/>
        <v>5522</v>
      </c>
      <c r="H601" s="6">
        <f t="shared" si="4"/>
        <v>16998</v>
      </c>
      <c r="I601" s="6">
        <f t="shared" si="5"/>
        <v>26652</v>
      </c>
      <c r="J601" s="6">
        <f t="shared" si="6"/>
        <v>95699</v>
      </c>
      <c r="K601" s="9"/>
      <c r="L601" s="9"/>
      <c r="M601" s="9"/>
      <c r="N601" s="9">
        <f t="shared" si="7"/>
        <v>17.88097907</v>
      </c>
      <c r="O601" s="10">
        <f t="shared" si="8"/>
        <v>29.07642159</v>
      </c>
      <c r="P601" s="9">
        <v>30.0</v>
      </c>
      <c r="Q601" s="11" t="str">
        <f t="shared" si="9"/>
        <v>¡Compra YA!</v>
      </c>
      <c r="R601" s="12"/>
      <c r="S601" s="8"/>
      <c r="T601" s="12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5" t="s">
        <v>1191</v>
      </c>
      <c r="B602" s="6" t="s">
        <v>1192</v>
      </c>
      <c r="C602" s="6">
        <f t="shared" si="1"/>
        <v>1099</v>
      </c>
      <c r="D602" s="6">
        <f t="shared" si="42"/>
        <v>184</v>
      </c>
      <c r="E602" s="7">
        <v>0.0</v>
      </c>
      <c r="F602" s="8"/>
      <c r="G602" s="6">
        <f t="shared" si="3"/>
        <v>2895</v>
      </c>
      <c r="H602" s="6">
        <f t="shared" si="4"/>
        <v>11525</v>
      </c>
      <c r="I602" s="6">
        <f t="shared" si="5"/>
        <v>24810</v>
      </c>
      <c r="J602" s="6">
        <f t="shared" si="6"/>
        <v>57653</v>
      </c>
      <c r="K602" s="9"/>
      <c r="L602" s="9"/>
      <c r="M602" s="9"/>
      <c r="N602" s="9">
        <f t="shared" si="7"/>
        <v>52.45950864</v>
      </c>
      <c r="O602" s="10">
        <f t="shared" si="8"/>
        <v>11.38860104</v>
      </c>
      <c r="P602" s="9">
        <v>30.0</v>
      </c>
      <c r="Q602" s="11" t="str">
        <f t="shared" si="9"/>
        <v>¡Compra YA!</v>
      </c>
      <c r="R602" s="12"/>
      <c r="S602" s="8"/>
      <c r="T602" s="12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5" t="s">
        <v>1193</v>
      </c>
      <c r="B603" s="6" t="s">
        <v>1194</v>
      </c>
      <c r="C603" s="6">
        <f t="shared" si="1"/>
        <v>4833</v>
      </c>
      <c r="D603" s="6">
        <f t="shared" si="42"/>
        <v>172</v>
      </c>
      <c r="E603" s="7">
        <v>0.0</v>
      </c>
      <c r="F603" s="8"/>
      <c r="G603" s="6">
        <f t="shared" si="3"/>
        <v>7581</v>
      </c>
      <c r="H603" s="6">
        <f t="shared" si="4"/>
        <v>17015</v>
      </c>
      <c r="I603" s="6">
        <f t="shared" si="5"/>
        <v>23894</v>
      </c>
      <c r="J603" s="6">
        <f t="shared" si="6"/>
        <v>46361</v>
      </c>
      <c r="K603" s="9"/>
      <c r="L603" s="9"/>
      <c r="M603" s="9"/>
      <c r="N603" s="9">
        <f t="shared" si="7"/>
        <v>9.592592593</v>
      </c>
      <c r="O603" s="10">
        <f t="shared" si="8"/>
        <v>19.12544519</v>
      </c>
      <c r="P603" s="9">
        <v>30.0</v>
      </c>
      <c r="Q603" s="11" t="str">
        <f t="shared" si="9"/>
        <v>¡Compra YA!</v>
      </c>
      <c r="R603" s="12"/>
      <c r="S603" s="8"/>
      <c r="T603" s="12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5" t="s">
        <v>1195</v>
      </c>
      <c r="B604" s="6" t="s">
        <v>1196</v>
      </c>
      <c r="C604" s="6">
        <f t="shared" si="1"/>
        <v>7300</v>
      </c>
      <c r="D604" s="6">
        <f t="shared" si="42"/>
        <v>80</v>
      </c>
      <c r="E604" s="7">
        <v>0.0</v>
      </c>
      <c r="F604" s="8"/>
      <c r="G604" s="6">
        <f t="shared" si="3"/>
        <v>3527</v>
      </c>
      <c r="H604" s="6">
        <f t="shared" si="4"/>
        <v>18687</v>
      </c>
      <c r="I604" s="6">
        <f t="shared" si="5"/>
        <v>23839</v>
      </c>
      <c r="J604" s="6">
        <f t="shared" si="6"/>
        <v>30487</v>
      </c>
      <c r="K604" s="9"/>
      <c r="L604" s="9"/>
      <c r="M604" s="9"/>
      <c r="N604" s="9">
        <f t="shared" si="7"/>
        <v>4.17630137</v>
      </c>
      <c r="O604" s="10">
        <f t="shared" si="8"/>
        <v>62.09242983</v>
      </c>
      <c r="P604" s="9">
        <v>30.0</v>
      </c>
      <c r="Q604" s="11" t="str">
        <f t="shared" si="9"/>
        <v>cobertura correcta</v>
      </c>
      <c r="R604" s="12"/>
      <c r="S604" s="8"/>
      <c r="T604" s="12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5" t="s">
        <v>1197</v>
      </c>
      <c r="B605" s="6" t="s">
        <v>1198</v>
      </c>
      <c r="C605" s="6">
        <f t="shared" si="1"/>
        <v>3062</v>
      </c>
      <c r="D605" s="6">
        <f t="shared" si="42"/>
        <v>57</v>
      </c>
      <c r="E605" s="7">
        <v>0.0</v>
      </c>
      <c r="F605" s="8"/>
      <c r="G605" s="6">
        <f t="shared" si="3"/>
        <v>2275</v>
      </c>
      <c r="H605" s="6">
        <f t="shared" si="4"/>
        <v>12450</v>
      </c>
      <c r="I605" s="6">
        <f t="shared" si="5"/>
        <v>27593</v>
      </c>
      <c r="J605" s="6">
        <f t="shared" si="6"/>
        <v>90632</v>
      </c>
      <c r="K605" s="9"/>
      <c r="L605" s="9"/>
      <c r="M605" s="9"/>
      <c r="N605" s="9">
        <f t="shared" si="7"/>
        <v>29.59895493</v>
      </c>
      <c r="O605" s="10">
        <f t="shared" si="8"/>
        <v>40.37802198</v>
      </c>
      <c r="P605" s="9">
        <v>30.0</v>
      </c>
      <c r="Q605" s="11" t="str">
        <f t="shared" si="9"/>
        <v>cobertura correcta</v>
      </c>
      <c r="R605" s="12"/>
      <c r="S605" s="8"/>
      <c r="T605" s="12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5" t="s">
        <v>1199</v>
      </c>
      <c r="B606" s="6" t="s">
        <v>1200</v>
      </c>
      <c r="C606" s="6">
        <f t="shared" si="1"/>
        <v>3892</v>
      </c>
      <c r="D606" s="6">
        <f t="shared" si="42"/>
        <v>30</v>
      </c>
      <c r="E606" s="7">
        <v>0.0</v>
      </c>
      <c r="F606" s="8"/>
      <c r="G606" s="6">
        <f t="shared" si="3"/>
        <v>6891</v>
      </c>
      <c r="H606" s="6">
        <f t="shared" si="4"/>
        <v>14002</v>
      </c>
      <c r="I606" s="6">
        <f t="shared" si="5"/>
        <v>20426</v>
      </c>
      <c r="J606" s="6">
        <f t="shared" si="6"/>
        <v>74201</v>
      </c>
      <c r="K606" s="9"/>
      <c r="L606" s="9"/>
      <c r="M606" s="9"/>
      <c r="N606" s="9">
        <f t="shared" si="7"/>
        <v>19.06500514</v>
      </c>
      <c r="O606" s="10">
        <f t="shared" si="8"/>
        <v>16.94383979</v>
      </c>
      <c r="P606" s="9">
        <v>30.0</v>
      </c>
      <c r="Q606" s="11" t="str">
        <f t="shared" si="9"/>
        <v>¡Compra YA!</v>
      </c>
      <c r="R606" s="12"/>
      <c r="S606" s="8"/>
      <c r="T606" s="12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5" t="s">
        <v>1201</v>
      </c>
      <c r="B607" s="6" t="s">
        <v>1202</v>
      </c>
      <c r="C607" s="6">
        <f t="shared" si="1"/>
        <v>8015</v>
      </c>
      <c r="D607" s="6">
        <f t="shared" si="42"/>
        <v>137</v>
      </c>
      <c r="E607" s="7">
        <v>0.0</v>
      </c>
      <c r="F607" s="8"/>
      <c r="G607" s="6">
        <f t="shared" si="3"/>
        <v>5444</v>
      </c>
      <c r="H607" s="6">
        <f t="shared" si="4"/>
        <v>18835</v>
      </c>
      <c r="I607" s="6">
        <f t="shared" si="5"/>
        <v>24750</v>
      </c>
      <c r="J607" s="6">
        <f t="shared" si="6"/>
        <v>82274</v>
      </c>
      <c r="K607" s="9"/>
      <c r="L607" s="9"/>
      <c r="M607" s="9"/>
      <c r="N607" s="9">
        <f t="shared" si="7"/>
        <v>10.26500312</v>
      </c>
      <c r="O607" s="10">
        <f t="shared" si="8"/>
        <v>44.16789126</v>
      </c>
      <c r="P607" s="9">
        <v>30.0</v>
      </c>
      <c r="Q607" s="11" t="str">
        <f t="shared" si="9"/>
        <v>cobertura correcta</v>
      </c>
      <c r="R607" s="12"/>
      <c r="S607" s="8"/>
      <c r="T607" s="12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5" t="s">
        <v>1203</v>
      </c>
      <c r="B608" s="6" t="s">
        <v>1204</v>
      </c>
      <c r="C608" s="6">
        <f t="shared" si="1"/>
        <v>3137</v>
      </c>
      <c r="D608" s="6">
        <f t="shared" si="42"/>
        <v>178</v>
      </c>
      <c r="E608" s="7">
        <v>0.0</v>
      </c>
      <c r="F608" s="8"/>
      <c r="G608" s="6">
        <f t="shared" si="3"/>
        <v>5041</v>
      </c>
      <c r="H608" s="6">
        <f t="shared" si="4"/>
        <v>14542</v>
      </c>
      <c r="I608" s="6">
        <f t="shared" si="5"/>
        <v>24425</v>
      </c>
      <c r="J608" s="6">
        <f t="shared" si="6"/>
        <v>94337</v>
      </c>
      <c r="K608" s="9"/>
      <c r="L608" s="9"/>
      <c r="M608" s="9"/>
      <c r="N608" s="9">
        <f t="shared" si="7"/>
        <v>30.07236213</v>
      </c>
      <c r="O608" s="10">
        <f t="shared" si="8"/>
        <v>18.6689149</v>
      </c>
      <c r="P608" s="9">
        <v>30.0</v>
      </c>
      <c r="Q608" s="11" t="str">
        <f t="shared" si="9"/>
        <v>¡Compra YA!</v>
      </c>
      <c r="R608" s="12"/>
      <c r="S608" s="8"/>
      <c r="T608" s="12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5" t="s">
        <v>1205</v>
      </c>
      <c r="B609" s="6" t="s">
        <v>1206</v>
      </c>
      <c r="C609" s="6">
        <f t="shared" si="1"/>
        <v>4756</v>
      </c>
      <c r="D609" s="6">
        <f t="shared" si="42"/>
        <v>12</v>
      </c>
      <c r="E609" s="7">
        <v>0.0</v>
      </c>
      <c r="F609" s="8"/>
      <c r="G609" s="6">
        <f t="shared" si="3"/>
        <v>8030</v>
      </c>
      <c r="H609" s="6">
        <f t="shared" si="4"/>
        <v>9432</v>
      </c>
      <c r="I609" s="6">
        <f t="shared" si="5"/>
        <v>24735</v>
      </c>
      <c r="J609" s="6">
        <f t="shared" si="6"/>
        <v>37859</v>
      </c>
      <c r="K609" s="9"/>
      <c r="L609" s="9"/>
      <c r="M609" s="9"/>
      <c r="N609" s="9">
        <f t="shared" si="7"/>
        <v>7.960260723</v>
      </c>
      <c r="O609" s="10">
        <f t="shared" si="8"/>
        <v>17.76836862</v>
      </c>
      <c r="P609" s="9">
        <v>30.0</v>
      </c>
      <c r="Q609" s="11" t="str">
        <f t="shared" si="9"/>
        <v>¡Compra YA!</v>
      </c>
      <c r="R609" s="12"/>
      <c r="S609" s="8"/>
      <c r="T609" s="12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5" t="s">
        <v>1207</v>
      </c>
      <c r="B610" s="6" t="s">
        <v>1208</v>
      </c>
      <c r="C610" s="6">
        <f t="shared" si="1"/>
        <v>2559</v>
      </c>
      <c r="D610" s="6">
        <f t="shared" si="42"/>
        <v>111</v>
      </c>
      <c r="E610" s="7">
        <v>0.0</v>
      </c>
      <c r="F610" s="8"/>
      <c r="G610" s="6">
        <f t="shared" si="3"/>
        <v>6450</v>
      </c>
      <c r="H610" s="6">
        <f t="shared" si="4"/>
        <v>9395</v>
      </c>
      <c r="I610" s="6">
        <f t="shared" si="5"/>
        <v>25851</v>
      </c>
      <c r="J610" s="6">
        <f t="shared" si="6"/>
        <v>73905</v>
      </c>
      <c r="K610" s="9"/>
      <c r="L610" s="9"/>
      <c r="M610" s="9"/>
      <c r="N610" s="9">
        <f t="shared" si="7"/>
        <v>28.88042204</v>
      </c>
      <c r="O610" s="10">
        <f t="shared" si="8"/>
        <v>11.90232558</v>
      </c>
      <c r="P610" s="9">
        <v>30.0</v>
      </c>
      <c r="Q610" s="11" t="str">
        <f t="shared" si="9"/>
        <v>¡Compra YA!</v>
      </c>
      <c r="R610" s="12"/>
      <c r="S610" s="8"/>
      <c r="T610" s="12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5" t="s">
        <v>1209</v>
      </c>
      <c r="B611" s="6" t="s">
        <v>1210</v>
      </c>
      <c r="C611" s="6">
        <f t="shared" si="1"/>
        <v>6641</v>
      </c>
      <c r="D611" s="6">
        <f t="shared" si="42"/>
        <v>5</v>
      </c>
      <c r="E611" s="7">
        <v>0.0</v>
      </c>
      <c r="F611" s="8"/>
      <c r="G611" s="6">
        <f t="shared" si="3"/>
        <v>1048</v>
      </c>
      <c r="H611" s="6">
        <f t="shared" si="4"/>
        <v>16250</v>
      </c>
      <c r="I611" s="6">
        <f t="shared" si="5"/>
        <v>21374</v>
      </c>
      <c r="J611" s="6">
        <f t="shared" si="6"/>
        <v>53120</v>
      </c>
      <c r="K611" s="9"/>
      <c r="L611" s="9"/>
      <c r="M611" s="9"/>
      <c r="N611" s="9">
        <f t="shared" si="7"/>
        <v>7.998795362</v>
      </c>
      <c r="O611" s="10">
        <f t="shared" si="8"/>
        <v>190.1049618</v>
      </c>
      <c r="P611" s="9">
        <v>30.0</v>
      </c>
      <c r="Q611" s="11" t="str">
        <f t="shared" si="9"/>
        <v>cobertura correcta</v>
      </c>
      <c r="R611" s="12"/>
      <c r="S611" s="8"/>
      <c r="T611" s="12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5" t="s">
        <v>1211</v>
      </c>
      <c r="B612" s="6" t="s">
        <v>1212</v>
      </c>
      <c r="C612" s="6">
        <f t="shared" si="1"/>
        <v>8613</v>
      </c>
      <c r="D612" s="6">
        <f t="shared" si="42"/>
        <v>133</v>
      </c>
      <c r="E612" s="7">
        <v>0.0</v>
      </c>
      <c r="F612" s="8"/>
      <c r="G612" s="6">
        <f t="shared" si="3"/>
        <v>8216</v>
      </c>
      <c r="H612" s="6">
        <f t="shared" si="4"/>
        <v>16651</v>
      </c>
      <c r="I612" s="6">
        <f t="shared" si="5"/>
        <v>21900</v>
      </c>
      <c r="J612" s="6">
        <f t="shared" si="6"/>
        <v>60909</v>
      </c>
      <c r="K612" s="9"/>
      <c r="L612" s="9"/>
      <c r="M612" s="9"/>
      <c r="N612" s="9">
        <f t="shared" si="7"/>
        <v>7.071752003</v>
      </c>
      <c r="O612" s="10">
        <f t="shared" si="8"/>
        <v>31.44961052</v>
      </c>
      <c r="P612" s="9">
        <v>30.0</v>
      </c>
      <c r="Q612" s="11" t="str">
        <f t="shared" si="9"/>
        <v>cobertura correcta</v>
      </c>
      <c r="R612" s="12"/>
      <c r="S612" s="8"/>
      <c r="T612" s="12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5" t="s">
        <v>1213</v>
      </c>
      <c r="B613" s="6" t="s">
        <v>1214</v>
      </c>
      <c r="C613" s="6">
        <f t="shared" si="1"/>
        <v>2518</v>
      </c>
      <c r="D613" s="6">
        <f t="shared" si="42"/>
        <v>92</v>
      </c>
      <c r="E613" s="7">
        <v>0.0</v>
      </c>
      <c r="F613" s="8"/>
      <c r="G613" s="6">
        <f t="shared" si="3"/>
        <v>6219</v>
      </c>
      <c r="H613" s="6">
        <f t="shared" si="4"/>
        <v>18912</v>
      </c>
      <c r="I613" s="6">
        <f t="shared" si="5"/>
        <v>26856</v>
      </c>
      <c r="J613" s="6">
        <f t="shared" si="6"/>
        <v>32495</v>
      </c>
      <c r="K613" s="9"/>
      <c r="L613" s="9"/>
      <c r="M613" s="9"/>
      <c r="N613" s="9">
        <f t="shared" si="7"/>
        <v>12.9050834</v>
      </c>
      <c r="O613" s="10">
        <f t="shared" si="8"/>
        <v>12.14664737</v>
      </c>
      <c r="P613" s="9">
        <v>30.0</v>
      </c>
      <c r="Q613" s="11" t="str">
        <f t="shared" si="9"/>
        <v>¡Compra YA!</v>
      </c>
      <c r="R613" s="12"/>
      <c r="S613" s="8"/>
      <c r="T613" s="12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5" t="s">
        <v>1215</v>
      </c>
      <c r="B614" s="6"/>
      <c r="C614" s="6">
        <f t="shared" si="1"/>
        <v>2125</v>
      </c>
      <c r="D614" s="6">
        <f t="shared" si="42"/>
        <v>75</v>
      </c>
      <c r="E614" s="7">
        <v>0.0</v>
      </c>
      <c r="F614" s="8"/>
      <c r="G614" s="6">
        <f t="shared" si="3"/>
        <v>8034</v>
      </c>
      <c r="H614" s="6">
        <f t="shared" si="4"/>
        <v>15163</v>
      </c>
      <c r="I614" s="6">
        <f t="shared" si="5"/>
        <v>21943</v>
      </c>
      <c r="J614" s="6">
        <f t="shared" si="6"/>
        <v>96888</v>
      </c>
      <c r="K614" s="9"/>
      <c r="L614" s="9"/>
      <c r="M614" s="9"/>
      <c r="N614" s="9">
        <f t="shared" si="7"/>
        <v>45.59435294</v>
      </c>
      <c r="O614" s="10">
        <f t="shared" si="8"/>
        <v>7.935026139</v>
      </c>
      <c r="P614" s="9">
        <v>30.0</v>
      </c>
      <c r="Q614" s="11" t="str">
        <f t="shared" si="9"/>
        <v>¡Compra YA!</v>
      </c>
      <c r="R614" s="12"/>
      <c r="S614" s="8"/>
      <c r="T614" s="12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5" t="s">
        <v>1216</v>
      </c>
      <c r="B615" s="6" t="s">
        <v>1217</v>
      </c>
      <c r="C615" s="6">
        <f t="shared" si="1"/>
        <v>2579</v>
      </c>
      <c r="D615" s="6">
        <f t="shared" si="42"/>
        <v>34</v>
      </c>
      <c r="E615" s="7">
        <v>0.0</v>
      </c>
      <c r="F615" s="8"/>
      <c r="G615" s="6">
        <f t="shared" si="3"/>
        <v>1533</v>
      </c>
      <c r="H615" s="6">
        <f t="shared" si="4"/>
        <v>9073</v>
      </c>
      <c r="I615" s="6">
        <f t="shared" si="5"/>
        <v>26961</v>
      </c>
      <c r="J615" s="6">
        <f t="shared" si="6"/>
        <v>66294</v>
      </c>
      <c r="K615" s="9"/>
      <c r="L615" s="9"/>
      <c r="M615" s="9"/>
      <c r="N615" s="9">
        <f t="shared" si="7"/>
        <v>25.70531214</v>
      </c>
      <c r="O615" s="10">
        <f t="shared" si="8"/>
        <v>50.46966732</v>
      </c>
      <c r="P615" s="9">
        <v>30.0</v>
      </c>
      <c r="Q615" s="11" t="str">
        <f t="shared" si="9"/>
        <v>cobertura correcta</v>
      </c>
      <c r="R615" s="12"/>
      <c r="S615" s="8"/>
      <c r="T615" s="12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5" t="s">
        <v>1218</v>
      </c>
      <c r="B616" s="6" t="s">
        <v>1219</v>
      </c>
      <c r="C616" s="6">
        <f t="shared" si="1"/>
        <v>1040</v>
      </c>
      <c r="D616" s="6">
        <f t="shared" si="42"/>
        <v>144</v>
      </c>
      <c r="E616" s="7">
        <v>0.0</v>
      </c>
      <c r="F616" s="8"/>
      <c r="G616" s="6">
        <f t="shared" si="3"/>
        <v>7541</v>
      </c>
      <c r="H616" s="6">
        <f t="shared" si="4"/>
        <v>12953</v>
      </c>
      <c r="I616" s="6">
        <f t="shared" si="5"/>
        <v>20831</v>
      </c>
      <c r="J616" s="6">
        <f t="shared" si="6"/>
        <v>89658</v>
      </c>
      <c r="K616" s="9"/>
      <c r="L616" s="9"/>
      <c r="M616" s="9"/>
      <c r="N616" s="9">
        <f t="shared" si="7"/>
        <v>86.20961538</v>
      </c>
      <c r="O616" s="10">
        <f t="shared" si="8"/>
        <v>4.13738231</v>
      </c>
      <c r="P616" s="9">
        <v>30.0</v>
      </c>
      <c r="Q616" s="11" t="str">
        <f t="shared" si="9"/>
        <v>¡Compra YA!</v>
      </c>
      <c r="R616" s="12"/>
      <c r="S616" s="8"/>
      <c r="T616" s="12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5" t="s">
        <v>1220</v>
      </c>
      <c r="B617" s="6" t="s">
        <v>1221</v>
      </c>
      <c r="C617" s="6">
        <f t="shared" si="1"/>
        <v>5164</v>
      </c>
      <c r="D617" s="6">
        <f t="shared" si="42"/>
        <v>136</v>
      </c>
      <c r="E617" s="7">
        <v>0.0</v>
      </c>
      <c r="F617" s="8"/>
      <c r="G617" s="6">
        <f t="shared" si="3"/>
        <v>2754</v>
      </c>
      <c r="H617" s="6">
        <f t="shared" si="4"/>
        <v>16649</v>
      </c>
      <c r="I617" s="6">
        <f t="shared" si="5"/>
        <v>20311</v>
      </c>
      <c r="J617" s="6">
        <f t="shared" si="6"/>
        <v>40445</v>
      </c>
      <c r="K617" s="9"/>
      <c r="L617" s="9"/>
      <c r="M617" s="9"/>
      <c r="N617" s="9">
        <f t="shared" si="7"/>
        <v>7.832106894</v>
      </c>
      <c r="O617" s="10">
        <f t="shared" si="8"/>
        <v>56.25272331</v>
      </c>
      <c r="P617" s="9">
        <v>30.0</v>
      </c>
      <c r="Q617" s="11" t="str">
        <f t="shared" si="9"/>
        <v>cobertura correcta</v>
      </c>
      <c r="R617" s="12"/>
      <c r="S617" s="8"/>
      <c r="T617" s="12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5" t="s">
        <v>1222</v>
      </c>
      <c r="B618" s="6" t="s">
        <v>1223</v>
      </c>
      <c r="C618" s="6">
        <f t="shared" si="1"/>
        <v>2080</v>
      </c>
      <c r="D618" s="6">
        <f t="shared" si="42"/>
        <v>191</v>
      </c>
      <c r="E618" s="7">
        <v>0.0</v>
      </c>
      <c r="F618" s="8"/>
      <c r="G618" s="6">
        <f t="shared" si="3"/>
        <v>7109</v>
      </c>
      <c r="H618" s="6">
        <f t="shared" si="4"/>
        <v>14200</v>
      </c>
      <c r="I618" s="6">
        <f t="shared" si="5"/>
        <v>26353</v>
      </c>
      <c r="J618" s="6">
        <f t="shared" si="6"/>
        <v>52155</v>
      </c>
      <c r="K618" s="9"/>
      <c r="L618" s="9"/>
      <c r="M618" s="9"/>
      <c r="N618" s="9">
        <f t="shared" si="7"/>
        <v>25.07451923</v>
      </c>
      <c r="O618" s="10">
        <f t="shared" si="8"/>
        <v>8.777605852</v>
      </c>
      <c r="P618" s="9">
        <v>30.0</v>
      </c>
      <c r="Q618" s="11" t="str">
        <f t="shared" si="9"/>
        <v>¡Compra YA!</v>
      </c>
      <c r="R618" s="12"/>
      <c r="S618" s="8"/>
      <c r="T618" s="12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5" t="s">
        <v>1224</v>
      </c>
      <c r="B619" s="6" t="s">
        <v>1225</v>
      </c>
      <c r="C619" s="6">
        <f t="shared" si="1"/>
        <v>2496</v>
      </c>
      <c r="D619" s="6">
        <f t="shared" si="42"/>
        <v>129</v>
      </c>
      <c r="E619" s="7">
        <v>0.0</v>
      </c>
      <c r="F619" s="8"/>
      <c r="G619" s="6">
        <f t="shared" si="3"/>
        <v>3347</v>
      </c>
      <c r="H619" s="6">
        <f t="shared" si="4"/>
        <v>10429</v>
      </c>
      <c r="I619" s="6">
        <f t="shared" si="5"/>
        <v>20722</v>
      </c>
      <c r="J619" s="6">
        <f t="shared" si="6"/>
        <v>32970</v>
      </c>
      <c r="K619" s="9"/>
      <c r="L619" s="9"/>
      <c r="M619" s="9"/>
      <c r="N619" s="9">
        <f t="shared" si="7"/>
        <v>13.20913462</v>
      </c>
      <c r="O619" s="10">
        <f t="shared" si="8"/>
        <v>22.37227368</v>
      </c>
      <c r="P619" s="9">
        <v>30.0</v>
      </c>
      <c r="Q619" s="11" t="str">
        <f t="shared" si="9"/>
        <v>¡Compra YA!</v>
      </c>
      <c r="R619" s="12"/>
      <c r="S619" s="8"/>
      <c r="T619" s="12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5" t="s">
        <v>1226</v>
      </c>
      <c r="B620" s="6"/>
      <c r="C620" s="6">
        <f t="shared" si="1"/>
        <v>8832</v>
      </c>
      <c r="D620" s="6">
        <f t="shared" si="42"/>
        <v>166</v>
      </c>
      <c r="E620" s="7">
        <v>0.0</v>
      </c>
      <c r="F620" s="8"/>
      <c r="G620" s="6">
        <f t="shared" si="3"/>
        <v>7995</v>
      </c>
      <c r="H620" s="6">
        <f t="shared" si="4"/>
        <v>13962</v>
      </c>
      <c r="I620" s="6">
        <f t="shared" si="5"/>
        <v>22670</v>
      </c>
      <c r="J620" s="6">
        <f t="shared" si="6"/>
        <v>32115</v>
      </c>
      <c r="K620" s="9"/>
      <c r="L620" s="9"/>
      <c r="M620" s="9"/>
      <c r="N620" s="9">
        <f t="shared" si="7"/>
        <v>3.636209239</v>
      </c>
      <c r="O620" s="10">
        <f t="shared" si="8"/>
        <v>33.14071295</v>
      </c>
      <c r="P620" s="9">
        <v>30.0</v>
      </c>
      <c r="Q620" s="11" t="str">
        <f t="shared" si="9"/>
        <v>cobertura correcta</v>
      </c>
      <c r="R620" s="12"/>
      <c r="S620" s="8"/>
      <c r="T620" s="12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5" t="s">
        <v>1227</v>
      </c>
      <c r="B621" s="6" t="s">
        <v>1228</v>
      </c>
      <c r="C621" s="6">
        <f t="shared" si="1"/>
        <v>3300</v>
      </c>
      <c r="D621" s="6">
        <f t="shared" si="42"/>
        <v>25</v>
      </c>
      <c r="E621" s="7">
        <v>0.0</v>
      </c>
      <c r="F621" s="8"/>
      <c r="G621" s="6">
        <f t="shared" si="3"/>
        <v>4238</v>
      </c>
      <c r="H621" s="6">
        <f t="shared" si="4"/>
        <v>10596</v>
      </c>
      <c r="I621" s="6">
        <f t="shared" si="5"/>
        <v>24500</v>
      </c>
      <c r="J621" s="6">
        <f t="shared" si="6"/>
        <v>63841</v>
      </c>
      <c r="K621" s="9"/>
      <c r="L621" s="9"/>
      <c r="M621" s="9"/>
      <c r="N621" s="9">
        <f t="shared" si="7"/>
        <v>19.34575758</v>
      </c>
      <c r="O621" s="10">
        <f t="shared" si="8"/>
        <v>23.36007551</v>
      </c>
      <c r="P621" s="9">
        <v>30.0</v>
      </c>
      <c r="Q621" s="11" t="str">
        <f t="shared" si="9"/>
        <v>¡Compra YA!</v>
      </c>
      <c r="R621" s="12"/>
      <c r="S621" s="8"/>
      <c r="T621" s="12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5" t="s">
        <v>1229</v>
      </c>
      <c r="B622" s="6" t="s">
        <v>1230</v>
      </c>
      <c r="C622" s="6">
        <f t="shared" si="1"/>
        <v>1448</v>
      </c>
      <c r="D622" s="6">
        <f t="shared" si="42"/>
        <v>154</v>
      </c>
      <c r="E622" s="7">
        <v>0.0</v>
      </c>
      <c r="F622" s="8"/>
      <c r="G622" s="6">
        <f t="shared" si="3"/>
        <v>5466</v>
      </c>
      <c r="H622" s="6">
        <f t="shared" si="4"/>
        <v>14516</v>
      </c>
      <c r="I622" s="6">
        <f t="shared" si="5"/>
        <v>26315</v>
      </c>
      <c r="J622" s="6">
        <f t="shared" si="6"/>
        <v>79053</v>
      </c>
      <c r="K622" s="9"/>
      <c r="L622" s="9"/>
      <c r="M622" s="9"/>
      <c r="N622" s="9">
        <f t="shared" si="7"/>
        <v>54.59461326</v>
      </c>
      <c r="O622" s="10">
        <f t="shared" si="8"/>
        <v>7.947310648</v>
      </c>
      <c r="P622" s="9">
        <v>30.0</v>
      </c>
      <c r="Q622" s="11" t="str">
        <f t="shared" si="9"/>
        <v>¡Compra YA!</v>
      </c>
      <c r="R622" s="12"/>
      <c r="S622" s="8"/>
      <c r="T622" s="12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5" t="s">
        <v>1231</v>
      </c>
      <c r="B623" s="6" t="s">
        <v>1232</v>
      </c>
      <c r="C623" s="6">
        <f t="shared" si="1"/>
        <v>8669</v>
      </c>
      <c r="D623" s="6">
        <f t="shared" si="42"/>
        <v>87</v>
      </c>
      <c r="E623" s="7">
        <v>0.0</v>
      </c>
      <c r="F623" s="8"/>
      <c r="G623" s="6">
        <f t="shared" si="3"/>
        <v>2912</v>
      </c>
      <c r="H623" s="6">
        <f t="shared" si="4"/>
        <v>17031</v>
      </c>
      <c r="I623" s="6">
        <f t="shared" si="5"/>
        <v>25185</v>
      </c>
      <c r="J623" s="6">
        <f t="shared" si="6"/>
        <v>77735</v>
      </c>
      <c r="K623" s="9"/>
      <c r="L623" s="9"/>
      <c r="M623" s="9"/>
      <c r="N623" s="9">
        <f t="shared" si="7"/>
        <v>8.967008882</v>
      </c>
      <c r="O623" s="10">
        <f t="shared" si="8"/>
        <v>89.30975275</v>
      </c>
      <c r="P623" s="9">
        <v>30.0</v>
      </c>
      <c r="Q623" s="11" t="str">
        <f t="shared" si="9"/>
        <v>cobertura correcta</v>
      </c>
      <c r="R623" s="12"/>
      <c r="S623" s="8"/>
      <c r="T623" s="12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5" t="s">
        <v>1233</v>
      </c>
      <c r="B624" s="6" t="s">
        <v>1234</v>
      </c>
      <c r="C624" s="6">
        <f t="shared" si="1"/>
        <v>1372</v>
      </c>
      <c r="D624" s="6">
        <f t="shared" si="42"/>
        <v>5</v>
      </c>
      <c r="E624" s="7">
        <v>0.0</v>
      </c>
      <c r="F624" s="8"/>
      <c r="G624" s="6">
        <f t="shared" si="3"/>
        <v>2172</v>
      </c>
      <c r="H624" s="6">
        <f t="shared" si="4"/>
        <v>12923</v>
      </c>
      <c r="I624" s="6">
        <f t="shared" si="5"/>
        <v>22540</v>
      </c>
      <c r="J624" s="6">
        <f t="shared" si="6"/>
        <v>61094</v>
      </c>
      <c r="K624" s="9"/>
      <c r="L624" s="9"/>
      <c r="M624" s="9"/>
      <c r="N624" s="9">
        <f t="shared" si="7"/>
        <v>44.52915452</v>
      </c>
      <c r="O624" s="10">
        <f t="shared" si="8"/>
        <v>18.95027624</v>
      </c>
      <c r="P624" s="9">
        <v>30.0</v>
      </c>
      <c r="Q624" s="11" t="str">
        <f t="shared" si="9"/>
        <v>¡Compra YA!</v>
      </c>
      <c r="R624" s="12"/>
      <c r="S624" s="8"/>
      <c r="T624" s="12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5" t="s">
        <v>1235</v>
      </c>
      <c r="B625" s="6" t="s">
        <v>1236</v>
      </c>
      <c r="C625" s="6">
        <f t="shared" si="1"/>
        <v>4194</v>
      </c>
      <c r="D625" s="6">
        <f t="shared" si="42"/>
        <v>36</v>
      </c>
      <c r="E625" s="7">
        <v>0.0</v>
      </c>
      <c r="F625" s="8"/>
      <c r="G625" s="6">
        <f t="shared" si="3"/>
        <v>3594</v>
      </c>
      <c r="H625" s="6">
        <f t="shared" si="4"/>
        <v>12776</v>
      </c>
      <c r="I625" s="6">
        <f t="shared" si="5"/>
        <v>28919</v>
      </c>
      <c r="J625" s="6">
        <f t="shared" si="6"/>
        <v>77960</v>
      </c>
      <c r="K625" s="9"/>
      <c r="L625" s="9"/>
      <c r="M625" s="9"/>
      <c r="N625" s="9">
        <f t="shared" si="7"/>
        <v>18.5884597</v>
      </c>
      <c r="O625" s="10">
        <f t="shared" si="8"/>
        <v>35.00834725</v>
      </c>
      <c r="P625" s="9">
        <v>30.0</v>
      </c>
      <c r="Q625" s="11" t="str">
        <f t="shared" si="9"/>
        <v>cobertura correcta</v>
      </c>
      <c r="R625" s="12"/>
      <c r="S625" s="8"/>
      <c r="T625" s="12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5" t="s">
        <v>1237</v>
      </c>
      <c r="B626" s="6" t="s">
        <v>1238</v>
      </c>
      <c r="C626" s="6">
        <f t="shared" si="1"/>
        <v>2457</v>
      </c>
      <c r="D626" s="6">
        <f t="shared" si="42"/>
        <v>32</v>
      </c>
      <c r="E626" s="7">
        <v>0.0</v>
      </c>
      <c r="F626" s="8"/>
      <c r="G626" s="6">
        <f t="shared" si="3"/>
        <v>8384</v>
      </c>
      <c r="H626" s="6">
        <f t="shared" si="4"/>
        <v>15791</v>
      </c>
      <c r="I626" s="6">
        <f t="shared" si="5"/>
        <v>27463</v>
      </c>
      <c r="J626" s="6">
        <f t="shared" si="6"/>
        <v>87887</v>
      </c>
      <c r="K626" s="9"/>
      <c r="L626" s="9"/>
      <c r="M626" s="9"/>
      <c r="N626" s="9">
        <f t="shared" si="7"/>
        <v>35.77004477</v>
      </c>
      <c r="O626" s="10">
        <f t="shared" si="8"/>
        <v>8.791746183</v>
      </c>
      <c r="P626" s="9">
        <v>30.0</v>
      </c>
      <c r="Q626" s="11" t="str">
        <f t="shared" si="9"/>
        <v>¡Compra YA!</v>
      </c>
      <c r="R626" s="12"/>
      <c r="S626" s="8"/>
      <c r="T626" s="12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5" t="s">
        <v>1239</v>
      </c>
      <c r="B627" s="6" t="s">
        <v>1240</v>
      </c>
      <c r="C627" s="6">
        <f t="shared" si="1"/>
        <v>5544</v>
      </c>
      <c r="D627" s="6">
        <f t="shared" si="42"/>
        <v>199</v>
      </c>
      <c r="E627" s="7">
        <v>0.0</v>
      </c>
      <c r="F627" s="8"/>
      <c r="G627" s="6">
        <f t="shared" si="3"/>
        <v>5639</v>
      </c>
      <c r="H627" s="6">
        <f t="shared" si="4"/>
        <v>10920</v>
      </c>
      <c r="I627" s="6">
        <f t="shared" si="5"/>
        <v>19919</v>
      </c>
      <c r="J627" s="6">
        <f t="shared" si="6"/>
        <v>47324</v>
      </c>
      <c r="K627" s="9"/>
      <c r="L627" s="9"/>
      <c r="M627" s="9"/>
      <c r="N627" s="9">
        <f t="shared" si="7"/>
        <v>8.536075036</v>
      </c>
      <c r="O627" s="10">
        <f t="shared" si="8"/>
        <v>29.49459124</v>
      </c>
      <c r="P627" s="9">
        <v>30.0</v>
      </c>
      <c r="Q627" s="11" t="str">
        <f t="shared" si="9"/>
        <v>¡Compra YA!</v>
      </c>
      <c r="R627" s="12"/>
      <c r="S627" s="8"/>
      <c r="T627" s="12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5" t="s">
        <v>1241</v>
      </c>
      <c r="B628" s="6" t="s">
        <v>1242</v>
      </c>
      <c r="C628" s="6">
        <f t="shared" si="1"/>
        <v>5559</v>
      </c>
      <c r="D628" s="6">
        <f t="shared" si="42"/>
        <v>62</v>
      </c>
      <c r="E628" s="7">
        <v>0.0</v>
      </c>
      <c r="F628" s="8"/>
      <c r="G628" s="6">
        <f t="shared" si="3"/>
        <v>8078</v>
      </c>
      <c r="H628" s="6">
        <f t="shared" si="4"/>
        <v>11735</v>
      </c>
      <c r="I628" s="6">
        <f t="shared" si="5"/>
        <v>19653</v>
      </c>
      <c r="J628" s="6">
        <f t="shared" si="6"/>
        <v>55850</v>
      </c>
      <c r="K628" s="9"/>
      <c r="L628" s="9"/>
      <c r="M628" s="9"/>
      <c r="N628" s="9">
        <f t="shared" si="7"/>
        <v>10.046771</v>
      </c>
      <c r="O628" s="10">
        <f t="shared" si="8"/>
        <v>20.64496162</v>
      </c>
      <c r="P628" s="9">
        <v>30.0</v>
      </c>
      <c r="Q628" s="11" t="str">
        <f t="shared" si="9"/>
        <v>¡Compra YA!</v>
      </c>
      <c r="R628" s="12"/>
      <c r="S628" s="8"/>
      <c r="T628" s="12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5" t="s">
        <v>1243</v>
      </c>
      <c r="B629" s="6" t="s">
        <v>1244</v>
      </c>
      <c r="C629" s="6">
        <f t="shared" si="1"/>
        <v>3325</v>
      </c>
      <c r="D629" s="6">
        <f t="shared" si="42"/>
        <v>61</v>
      </c>
      <c r="E629" s="7">
        <v>0.0</v>
      </c>
      <c r="F629" s="8"/>
      <c r="G629" s="6">
        <f t="shared" si="3"/>
        <v>5975</v>
      </c>
      <c r="H629" s="6">
        <f t="shared" si="4"/>
        <v>9682</v>
      </c>
      <c r="I629" s="6">
        <f t="shared" si="5"/>
        <v>28760</v>
      </c>
      <c r="J629" s="6">
        <f t="shared" si="6"/>
        <v>84691</v>
      </c>
      <c r="K629" s="9"/>
      <c r="L629" s="9"/>
      <c r="M629" s="9"/>
      <c r="N629" s="9">
        <f t="shared" si="7"/>
        <v>25.47097744</v>
      </c>
      <c r="O629" s="10">
        <f t="shared" si="8"/>
        <v>16.69456067</v>
      </c>
      <c r="P629" s="9">
        <v>30.0</v>
      </c>
      <c r="Q629" s="11" t="str">
        <f t="shared" si="9"/>
        <v>¡Compra YA!</v>
      </c>
      <c r="R629" s="12"/>
      <c r="S629" s="8"/>
      <c r="T629" s="12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5" t="s">
        <v>1245</v>
      </c>
      <c r="B630" s="6" t="s">
        <v>1246</v>
      </c>
      <c r="C630" s="6">
        <f t="shared" si="1"/>
        <v>7574</v>
      </c>
      <c r="D630" s="6">
        <f t="shared" si="42"/>
        <v>2</v>
      </c>
      <c r="E630" s="7">
        <v>0.0</v>
      </c>
      <c r="F630" s="8"/>
      <c r="G630" s="6">
        <f t="shared" si="3"/>
        <v>8301</v>
      </c>
      <c r="H630" s="6">
        <f t="shared" si="4"/>
        <v>13334</v>
      </c>
      <c r="I630" s="6">
        <f t="shared" si="5"/>
        <v>25204</v>
      </c>
      <c r="J630" s="6">
        <f t="shared" si="6"/>
        <v>70264</v>
      </c>
      <c r="K630" s="9"/>
      <c r="L630" s="9"/>
      <c r="M630" s="9"/>
      <c r="N630" s="9">
        <f t="shared" si="7"/>
        <v>9.277000264</v>
      </c>
      <c r="O630" s="10">
        <f t="shared" si="8"/>
        <v>27.37260571</v>
      </c>
      <c r="P630" s="9">
        <v>30.0</v>
      </c>
      <c r="Q630" s="11" t="str">
        <f t="shared" si="9"/>
        <v>¡Compra YA!</v>
      </c>
      <c r="R630" s="12"/>
      <c r="S630" s="8"/>
      <c r="T630" s="12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5" t="s">
        <v>1247</v>
      </c>
      <c r="B631" s="6" t="s">
        <v>1248</v>
      </c>
      <c r="C631" s="6">
        <f t="shared" si="1"/>
        <v>8875</v>
      </c>
      <c r="D631" s="6">
        <f t="shared" si="42"/>
        <v>32</v>
      </c>
      <c r="E631" s="7">
        <v>0.0</v>
      </c>
      <c r="F631" s="8"/>
      <c r="G631" s="6">
        <f t="shared" si="3"/>
        <v>5789</v>
      </c>
      <c r="H631" s="6">
        <f t="shared" si="4"/>
        <v>10508</v>
      </c>
      <c r="I631" s="6">
        <f t="shared" si="5"/>
        <v>25817</v>
      </c>
      <c r="J631" s="6">
        <f t="shared" si="6"/>
        <v>52941</v>
      </c>
      <c r="K631" s="9"/>
      <c r="L631" s="9"/>
      <c r="M631" s="9"/>
      <c r="N631" s="9">
        <f t="shared" si="7"/>
        <v>5.965183099</v>
      </c>
      <c r="O631" s="10">
        <f t="shared" si="8"/>
        <v>45.99239938</v>
      </c>
      <c r="P631" s="9">
        <v>30.0</v>
      </c>
      <c r="Q631" s="11" t="str">
        <f t="shared" si="9"/>
        <v>cobertura correcta</v>
      </c>
      <c r="R631" s="12"/>
      <c r="S631" s="8"/>
      <c r="T631" s="12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5" t="s">
        <v>1249</v>
      </c>
      <c r="B632" s="6" t="s">
        <v>1250</v>
      </c>
      <c r="C632" s="6">
        <f t="shared" si="1"/>
        <v>1233</v>
      </c>
      <c r="D632" s="6">
        <f t="shared" si="42"/>
        <v>19</v>
      </c>
      <c r="E632" s="7">
        <v>0.0</v>
      </c>
      <c r="F632" s="8"/>
      <c r="G632" s="6">
        <f t="shared" si="3"/>
        <v>2176</v>
      </c>
      <c r="H632" s="6">
        <f t="shared" si="4"/>
        <v>10121</v>
      </c>
      <c r="I632" s="6">
        <f t="shared" si="5"/>
        <v>23561</v>
      </c>
      <c r="J632" s="6">
        <f t="shared" si="6"/>
        <v>57201</v>
      </c>
      <c r="K632" s="9"/>
      <c r="L632" s="9"/>
      <c r="M632" s="9"/>
      <c r="N632" s="9">
        <f t="shared" si="7"/>
        <v>46.39172749</v>
      </c>
      <c r="O632" s="10">
        <f t="shared" si="8"/>
        <v>16.99908088</v>
      </c>
      <c r="P632" s="9">
        <v>30.0</v>
      </c>
      <c r="Q632" s="11" t="str">
        <f t="shared" si="9"/>
        <v>¡Compra YA!</v>
      </c>
      <c r="R632" s="12"/>
      <c r="S632" s="8"/>
      <c r="T632" s="12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5" t="s">
        <v>1251</v>
      </c>
      <c r="B633" s="6" t="s">
        <v>1252</v>
      </c>
      <c r="C633" s="6">
        <f t="shared" si="1"/>
        <v>1767</v>
      </c>
      <c r="D633" s="6">
        <f t="shared" si="42"/>
        <v>132</v>
      </c>
      <c r="E633" s="7">
        <v>0.0</v>
      </c>
      <c r="F633" s="8"/>
      <c r="G633" s="6">
        <f t="shared" si="3"/>
        <v>4932</v>
      </c>
      <c r="H633" s="6">
        <f t="shared" si="4"/>
        <v>18295</v>
      </c>
      <c r="I633" s="6">
        <f t="shared" si="5"/>
        <v>28787</v>
      </c>
      <c r="J633" s="6">
        <f t="shared" si="6"/>
        <v>72865</v>
      </c>
      <c r="K633" s="9"/>
      <c r="L633" s="9"/>
      <c r="M633" s="9"/>
      <c r="N633" s="9">
        <f t="shared" si="7"/>
        <v>41.23655914</v>
      </c>
      <c r="O633" s="10">
        <f t="shared" si="8"/>
        <v>10.74817518</v>
      </c>
      <c r="P633" s="9">
        <v>30.0</v>
      </c>
      <c r="Q633" s="11" t="str">
        <f t="shared" si="9"/>
        <v>¡Compra YA!</v>
      </c>
      <c r="R633" s="12"/>
      <c r="S633" s="8"/>
      <c r="T633" s="12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5" t="s">
        <v>1253</v>
      </c>
      <c r="B634" s="6" t="s">
        <v>1254</v>
      </c>
      <c r="C634" s="6">
        <f t="shared" si="1"/>
        <v>2462</v>
      </c>
      <c r="D634" s="6">
        <f t="shared" si="42"/>
        <v>14</v>
      </c>
      <c r="E634" s="7">
        <v>0.0</v>
      </c>
      <c r="F634" s="8"/>
      <c r="G634" s="6">
        <f t="shared" si="3"/>
        <v>3851</v>
      </c>
      <c r="H634" s="6">
        <f t="shared" si="4"/>
        <v>9975</v>
      </c>
      <c r="I634" s="6">
        <f t="shared" si="5"/>
        <v>20656</v>
      </c>
      <c r="J634" s="6">
        <f t="shared" si="6"/>
        <v>67440</v>
      </c>
      <c r="K634" s="9"/>
      <c r="L634" s="9"/>
      <c r="M634" s="9"/>
      <c r="N634" s="9">
        <f t="shared" si="7"/>
        <v>27.39236393</v>
      </c>
      <c r="O634" s="10">
        <f t="shared" si="8"/>
        <v>19.17943391</v>
      </c>
      <c r="P634" s="9">
        <v>30.0</v>
      </c>
      <c r="Q634" s="11" t="str">
        <f t="shared" si="9"/>
        <v>¡Compra YA!</v>
      </c>
      <c r="R634" s="12"/>
      <c r="S634" s="8"/>
      <c r="T634" s="12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5" t="s">
        <v>1255</v>
      </c>
      <c r="B635" s="6" t="s">
        <v>1256</v>
      </c>
      <c r="C635" s="6">
        <f t="shared" si="1"/>
        <v>8141</v>
      </c>
      <c r="D635" s="6">
        <f t="shared" si="42"/>
        <v>182</v>
      </c>
      <c r="E635" s="7">
        <v>0.0</v>
      </c>
      <c r="F635" s="8"/>
      <c r="G635" s="6">
        <f t="shared" si="3"/>
        <v>3522</v>
      </c>
      <c r="H635" s="6">
        <f t="shared" si="4"/>
        <v>18936</v>
      </c>
      <c r="I635" s="6">
        <f t="shared" si="5"/>
        <v>20125</v>
      </c>
      <c r="J635" s="6">
        <f t="shared" si="6"/>
        <v>62558</v>
      </c>
      <c r="K635" s="9"/>
      <c r="L635" s="9"/>
      <c r="M635" s="9"/>
      <c r="N635" s="9">
        <f t="shared" si="7"/>
        <v>7.684313966</v>
      </c>
      <c r="O635" s="10">
        <f t="shared" si="8"/>
        <v>69.34412266</v>
      </c>
      <c r="P635" s="9">
        <v>30.0</v>
      </c>
      <c r="Q635" s="11" t="str">
        <f t="shared" si="9"/>
        <v>cobertura correcta</v>
      </c>
      <c r="R635" s="12"/>
      <c r="S635" s="8"/>
      <c r="T635" s="12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5" t="s">
        <v>1257</v>
      </c>
      <c r="B636" s="6" t="s">
        <v>1258</v>
      </c>
      <c r="C636" s="6">
        <f t="shared" si="1"/>
        <v>4212</v>
      </c>
      <c r="D636" s="6">
        <f t="shared" si="42"/>
        <v>173</v>
      </c>
      <c r="E636" s="7">
        <v>0.0</v>
      </c>
      <c r="F636" s="8"/>
      <c r="G636" s="6">
        <f t="shared" si="3"/>
        <v>2169</v>
      </c>
      <c r="H636" s="6">
        <f t="shared" si="4"/>
        <v>13927</v>
      </c>
      <c r="I636" s="6">
        <f t="shared" si="5"/>
        <v>28405</v>
      </c>
      <c r="J636" s="6">
        <f t="shared" si="6"/>
        <v>79747</v>
      </c>
      <c r="K636" s="9"/>
      <c r="L636" s="9"/>
      <c r="M636" s="9"/>
      <c r="N636" s="9">
        <f t="shared" si="7"/>
        <v>18.93328585</v>
      </c>
      <c r="O636" s="10">
        <f t="shared" si="8"/>
        <v>58.25726141</v>
      </c>
      <c r="P636" s="9">
        <v>30.0</v>
      </c>
      <c r="Q636" s="11" t="str">
        <f t="shared" si="9"/>
        <v>cobertura correcta</v>
      </c>
      <c r="R636" s="12"/>
      <c r="S636" s="8"/>
      <c r="T636" s="12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5" t="s">
        <v>1259</v>
      </c>
      <c r="B637" s="6" t="s">
        <v>1260</v>
      </c>
      <c r="C637" s="6">
        <f t="shared" si="1"/>
        <v>1956</v>
      </c>
      <c r="D637" s="6">
        <f t="shared" si="42"/>
        <v>5</v>
      </c>
      <c r="E637" s="7">
        <v>0.0</v>
      </c>
      <c r="F637" s="8"/>
      <c r="G637" s="6">
        <f t="shared" si="3"/>
        <v>3292</v>
      </c>
      <c r="H637" s="6">
        <f t="shared" si="4"/>
        <v>14482</v>
      </c>
      <c r="I637" s="6">
        <f t="shared" si="5"/>
        <v>27239</v>
      </c>
      <c r="J637" s="6">
        <f t="shared" si="6"/>
        <v>41957</v>
      </c>
      <c r="K637" s="9"/>
      <c r="L637" s="9"/>
      <c r="M637" s="9"/>
      <c r="N637" s="9">
        <f t="shared" si="7"/>
        <v>21.450409</v>
      </c>
      <c r="O637" s="10">
        <f t="shared" si="8"/>
        <v>17.82503038</v>
      </c>
      <c r="P637" s="9">
        <v>30.0</v>
      </c>
      <c r="Q637" s="11" t="str">
        <f t="shared" si="9"/>
        <v>¡Compra YA!</v>
      </c>
      <c r="R637" s="12"/>
      <c r="S637" s="8"/>
      <c r="T637" s="12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5" t="s">
        <v>1261</v>
      </c>
      <c r="B638" s="6" t="s">
        <v>1262</v>
      </c>
      <c r="C638" s="6">
        <f t="shared" si="1"/>
        <v>2478</v>
      </c>
      <c r="D638" s="6">
        <f t="shared" si="42"/>
        <v>122</v>
      </c>
      <c r="E638" s="7">
        <v>0.0</v>
      </c>
      <c r="F638" s="8"/>
      <c r="G638" s="6">
        <f t="shared" si="3"/>
        <v>6611</v>
      </c>
      <c r="H638" s="6">
        <f t="shared" si="4"/>
        <v>15571</v>
      </c>
      <c r="I638" s="6">
        <f t="shared" si="5"/>
        <v>20132</v>
      </c>
      <c r="J638" s="6">
        <f t="shared" si="6"/>
        <v>71039</v>
      </c>
      <c r="K638" s="9"/>
      <c r="L638" s="9"/>
      <c r="M638" s="9"/>
      <c r="N638" s="9">
        <f t="shared" si="7"/>
        <v>28.66787732</v>
      </c>
      <c r="O638" s="10">
        <f t="shared" si="8"/>
        <v>11.24489487</v>
      </c>
      <c r="P638" s="9">
        <v>30.0</v>
      </c>
      <c r="Q638" s="11" t="str">
        <f t="shared" si="9"/>
        <v>¡Compra YA!</v>
      </c>
      <c r="R638" s="12"/>
      <c r="S638" s="8"/>
      <c r="T638" s="12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5.75" customHeight="1">
      <c r="A639" s="5" t="s">
        <v>1263</v>
      </c>
      <c r="B639" s="6" t="s">
        <v>1264</v>
      </c>
      <c r="C639" s="6">
        <f t="shared" si="1"/>
        <v>6060</v>
      </c>
      <c r="D639" s="6">
        <f t="shared" si="42"/>
        <v>98</v>
      </c>
      <c r="E639" s="7">
        <v>0.0</v>
      </c>
      <c r="F639" s="8"/>
      <c r="G639" s="6">
        <f t="shared" si="3"/>
        <v>2442</v>
      </c>
      <c r="H639" s="6">
        <f t="shared" si="4"/>
        <v>9421</v>
      </c>
      <c r="I639" s="6">
        <f t="shared" si="5"/>
        <v>22696</v>
      </c>
      <c r="J639" s="6">
        <f t="shared" si="6"/>
        <v>37554</v>
      </c>
      <c r="K639" s="9"/>
      <c r="L639" s="9"/>
      <c r="M639" s="9"/>
      <c r="N639" s="9">
        <f t="shared" si="7"/>
        <v>6.197029703</v>
      </c>
      <c r="O639" s="10">
        <f t="shared" si="8"/>
        <v>74.44717445</v>
      </c>
      <c r="P639" s="9">
        <v>30.0</v>
      </c>
      <c r="Q639" s="11" t="str">
        <f t="shared" si="9"/>
        <v>cobertura correcta</v>
      </c>
      <c r="R639" s="12"/>
      <c r="S639" s="8"/>
      <c r="T639" s="12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5.75" customHeight="1">
      <c r="A640" s="5" t="s">
        <v>1265</v>
      </c>
      <c r="B640" s="6" t="s">
        <v>1266</v>
      </c>
      <c r="C640" s="6">
        <f t="shared" si="1"/>
        <v>5213</v>
      </c>
      <c r="D640" s="6">
        <f t="shared" si="42"/>
        <v>192</v>
      </c>
      <c r="E640" s="7">
        <v>0.0</v>
      </c>
      <c r="F640" s="8"/>
      <c r="G640" s="6">
        <f t="shared" si="3"/>
        <v>7023</v>
      </c>
      <c r="H640" s="6">
        <f t="shared" si="4"/>
        <v>10771</v>
      </c>
      <c r="I640" s="6">
        <f t="shared" si="5"/>
        <v>23864</v>
      </c>
      <c r="J640" s="6">
        <f t="shared" si="6"/>
        <v>44926</v>
      </c>
      <c r="K640" s="9"/>
      <c r="L640" s="9"/>
      <c r="M640" s="9"/>
      <c r="N640" s="9">
        <f t="shared" si="7"/>
        <v>8.618070209</v>
      </c>
      <c r="O640" s="10">
        <f t="shared" si="8"/>
        <v>22.26826143</v>
      </c>
      <c r="P640" s="9">
        <v>30.0</v>
      </c>
      <c r="Q640" s="11" t="str">
        <f t="shared" si="9"/>
        <v>¡Compra YA!</v>
      </c>
      <c r="R640" s="12"/>
      <c r="S640" s="8"/>
      <c r="T640" s="12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5.75" customHeight="1">
      <c r="A641" s="5" t="s">
        <v>1267</v>
      </c>
      <c r="B641" s="6" t="s">
        <v>1268</v>
      </c>
      <c r="C641" s="6">
        <f t="shared" si="1"/>
        <v>7209</v>
      </c>
      <c r="D641" s="6">
        <f t="shared" si="42"/>
        <v>37</v>
      </c>
      <c r="E641" s="7">
        <v>0.0</v>
      </c>
      <c r="F641" s="8"/>
      <c r="G641" s="6">
        <f t="shared" si="3"/>
        <v>8814</v>
      </c>
      <c r="H641" s="6">
        <f t="shared" si="4"/>
        <v>16790</v>
      </c>
      <c r="I641" s="6">
        <f t="shared" si="5"/>
        <v>22409</v>
      </c>
      <c r="J641" s="6">
        <f t="shared" si="6"/>
        <v>62845</v>
      </c>
      <c r="K641" s="9"/>
      <c r="L641" s="9"/>
      <c r="M641" s="9"/>
      <c r="N641" s="9">
        <f t="shared" si="7"/>
        <v>8.717575253</v>
      </c>
      <c r="O641" s="10">
        <f t="shared" si="8"/>
        <v>24.53710007</v>
      </c>
      <c r="P641" s="9">
        <v>30.0</v>
      </c>
      <c r="Q641" s="11" t="str">
        <f t="shared" si="9"/>
        <v>¡Compra YA!</v>
      </c>
      <c r="R641" s="12"/>
      <c r="S641" s="8"/>
      <c r="T641" s="12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5.75" customHeight="1">
      <c r="A642" s="5" t="s">
        <v>1269</v>
      </c>
      <c r="B642" s="6" t="s">
        <v>1270</v>
      </c>
      <c r="C642" s="6">
        <f t="shared" si="1"/>
        <v>4556</v>
      </c>
      <c r="D642" s="6">
        <f t="shared" si="42"/>
        <v>24</v>
      </c>
      <c r="E642" s="7">
        <v>0.0</v>
      </c>
      <c r="F642" s="8"/>
      <c r="G642" s="6">
        <f t="shared" si="3"/>
        <v>8628</v>
      </c>
      <c r="H642" s="6">
        <f t="shared" si="4"/>
        <v>11943</v>
      </c>
      <c r="I642" s="6">
        <f t="shared" si="5"/>
        <v>25716</v>
      </c>
      <c r="J642" s="6">
        <f t="shared" si="6"/>
        <v>75121</v>
      </c>
      <c r="K642" s="9"/>
      <c r="L642" s="9"/>
      <c r="M642" s="9"/>
      <c r="N642" s="9">
        <f t="shared" si="7"/>
        <v>16.48836699</v>
      </c>
      <c r="O642" s="10">
        <f t="shared" si="8"/>
        <v>15.84144645</v>
      </c>
      <c r="P642" s="9">
        <v>30.0</v>
      </c>
      <c r="Q642" s="11" t="str">
        <f t="shared" si="9"/>
        <v>¡Compra YA!</v>
      </c>
      <c r="R642" s="12"/>
      <c r="S642" s="8"/>
      <c r="T642" s="12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5.75" customHeight="1">
      <c r="A643" s="5" t="s">
        <v>1271</v>
      </c>
      <c r="B643" s="6" t="s">
        <v>1272</v>
      </c>
      <c r="C643" s="6">
        <f t="shared" si="1"/>
        <v>5334</v>
      </c>
      <c r="D643" s="6">
        <f t="shared" si="42"/>
        <v>166</v>
      </c>
      <c r="E643" s="7">
        <v>0.0</v>
      </c>
      <c r="F643" s="8"/>
      <c r="G643" s="6">
        <f t="shared" si="3"/>
        <v>7307</v>
      </c>
      <c r="H643" s="6">
        <f t="shared" si="4"/>
        <v>10539</v>
      </c>
      <c r="I643" s="6">
        <f t="shared" si="5"/>
        <v>28145</v>
      </c>
      <c r="J643" s="6">
        <f t="shared" si="6"/>
        <v>31901</v>
      </c>
      <c r="K643" s="9"/>
      <c r="L643" s="9"/>
      <c r="M643" s="9"/>
      <c r="N643" s="9">
        <f t="shared" si="7"/>
        <v>5.980689914</v>
      </c>
      <c r="O643" s="10">
        <f t="shared" si="8"/>
        <v>21.89954838</v>
      </c>
      <c r="P643" s="9">
        <v>30.0</v>
      </c>
      <c r="Q643" s="11" t="str">
        <f t="shared" si="9"/>
        <v>¡Compra YA!</v>
      </c>
      <c r="R643" s="12"/>
      <c r="S643" s="8"/>
      <c r="T643" s="12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5.75" customHeight="1">
      <c r="A644" s="5" t="s">
        <v>1273</v>
      </c>
      <c r="B644" s="6" t="s">
        <v>1274</v>
      </c>
      <c r="C644" s="6">
        <f t="shared" si="1"/>
        <v>7954</v>
      </c>
      <c r="D644" s="6">
        <f t="shared" si="42"/>
        <v>42</v>
      </c>
      <c r="E644" s="7">
        <v>0.0</v>
      </c>
      <c r="F644" s="8"/>
      <c r="G644" s="6">
        <f t="shared" si="3"/>
        <v>4183</v>
      </c>
      <c r="H644" s="6">
        <f t="shared" si="4"/>
        <v>17747</v>
      </c>
      <c r="I644" s="6">
        <f t="shared" si="5"/>
        <v>24614</v>
      </c>
      <c r="J644" s="6">
        <f t="shared" si="6"/>
        <v>58683</v>
      </c>
      <c r="K644" s="9"/>
      <c r="L644" s="9"/>
      <c r="M644" s="9"/>
      <c r="N644" s="9">
        <f t="shared" si="7"/>
        <v>7.377797335</v>
      </c>
      <c r="O644" s="10">
        <f t="shared" si="8"/>
        <v>57.04518288</v>
      </c>
      <c r="P644" s="9">
        <v>30.0</v>
      </c>
      <c r="Q644" s="11" t="str">
        <f t="shared" si="9"/>
        <v>cobertura correcta</v>
      </c>
      <c r="R644" s="12"/>
      <c r="S644" s="8"/>
      <c r="T644" s="12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5.75" customHeight="1">
      <c r="A645" s="5" t="s">
        <v>1275</v>
      </c>
      <c r="B645" s="6" t="s">
        <v>1276</v>
      </c>
      <c r="C645" s="6">
        <f t="shared" si="1"/>
        <v>4248</v>
      </c>
      <c r="D645" s="6">
        <f t="shared" si="42"/>
        <v>148</v>
      </c>
      <c r="E645" s="7">
        <v>0.0</v>
      </c>
      <c r="F645" s="8"/>
      <c r="G645" s="6">
        <f t="shared" si="3"/>
        <v>5618</v>
      </c>
      <c r="H645" s="6">
        <f t="shared" si="4"/>
        <v>11374</v>
      </c>
      <c r="I645" s="6">
        <f t="shared" si="5"/>
        <v>24673</v>
      </c>
      <c r="J645" s="6">
        <f t="shared" si="6"/>
        <v>37322</v>
      </c>
      <c r="K645" s="9"/>
      <c r="L645" s="9"/>
      <c r="M645" s="9"/>
      <c r="N645" s="9">
        <f t="shared" si="7"/>
        <v>8.785781544</v>
      </c>
      <c r="O645" s="10">
        <f t="shared" si="8"/>
        <v>22.68422926</v>
      </c>
      <c r="P645" s="9">
        <v>30.0</v>
      </c>
      <c r="Q645" s="11" t="str">
        <f t="shared" si="9"/>
        <v>¡Compra YA!</v>
      </c>
      <c r="R645" s="12"/>
      <c r="S645" s="8"/>
      <c r="T645" s="12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5.75" customHeight="1">
      <c r="A646" s="5" t="s">
        <v>1277</v>
      </c>
      <c r="B646" s="6" t="s">
        <v>1278</v>
      </c>
      <c r="C646" s="6">
        <f t="shared" si="1"/>
        <v>1941</v>
      </c>
      <c r="D646" s="6">
        <f t="shared" si="42"/>
        <v>137</v>
      </c>
      <c r="E646" s="7">
        <v>0.0</v>
      </c>
      <c r="F646" s="8"/>
      <c r="G646" s="6">
        <f t="shared" si="3"/>
        <v>5786</v>
      </c>
      <c r="H646" s="6">
        <f t="shared" si="4"/>
        <v>18338</v>
      </c>
      <c r="I646" s="6">
        <f t="shared" si="5"/>
        <v>24631</v>
      </c>
      <c r="J646" s="6">
        <f t="shared" si="6"/>
        <v>51513</v>
      </c>
      <c r="K646" s="9"/>
      <c r="L646" s="9"/>
      <c r="M646" s="9"/>
      <c r="N646" s="9">
        <f t="shared" si="7"/>
        <v>26.53941267</v>
      </c>
      <c r="O646" s="10">
        <f t="shared" si="8"/>
        <v>10.06394746</v>
      </c>
      <c r="P646" s="9">
        <v>30.0</v>
      </c>
      <c r="Q646" s="11" t="str">
        <f t="shared" si="9"/>
        <v>¡Compra YA!</v>
      </c>
      <c r="R646" s="12"/>
      <c r="S646" s="8"/>
      <c r="T646" s="12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5.75" customHeight="1">
      <c r="A647" s="5" t="s">
        <v>1279</v>
      </c>
      <c r="B647" s="6" t="s">
        <v>1280</v>
      </c>
      <c r="C647" s="6">
        <f t="shared" si="1"/>
        <v>8398</v>
      </c>
      <c r="D647" s="6">
        <f t="shared" si="42"/>
        <v>182</v>
      </c>
      <c r="E647" s="7">
        <v>0.0</v>
      </c>
      <c r="F647" s="8"/>
      <c r="G647" s="6">
        <f t="shared" si="3"/>
        <v>5055</v>
      </c>
      <c r="H647" s="6">
        <f t="shared" si="4"/>
        <v>9178</v>
      </c>
      <c r="I647" s="6">
        <f t="shared" si="5"/>
        <v>26957</v>
      </c>
      <c r="J647" s="6">
        <f t="shared" si="6"/>
        <v>91887</v>
      </c>
      <c r="K647" s="9"/>
      <c r="L647" s="9"/>
      <c r="M647" s="9"/>
      <c r="N647" s="9">
        <f t="shared" si="7"/>
        <v>10.9415337</v>
      </c>
      <c r="O647" s="10">
        <f t="shared" si="8"/>
        <v>49.83976261</v>
      </c>
      <c r="P647" s="9">
        <v>30.0</v>
      </c>
      <c r="Q647" s="11" t="str">
        <f t="shared" si="9"/>
        <v>cobertura correcta</v>
      </c>
      <c r="R647" s="12"/>
      <c r="S647" s="8"/>
      <c r="T647" s="12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5.75" customHeight="1">
      <c r="A648" s="5" t="s">
        <v>1281</v>
      </c>
      <c r="B648" s="6" t="s">
        <v>1282</v>
      </c>
      <c r="C648" s="6">
        <f t="shared" si="1"/>
        <v>3832</v>
      </c>
      <c r="D648" s="6">
        <f t="shared" si="42"/>
        <v>90</v>
      </c>
      <c r="E648" s="7">
        <v>0.0</v>
      </c>
      <c r="F648" s="8"/>
      <c r="G648" s="6">
        <f t="shared" si="3"/>
        <v>5448</v>
      </c>
      <c r="H648" s="6">
        <f t="shared" si="4"/>
        <v>16396</v>
      </c>
      <c r="I648" s="6">
        <f t="shared" si="5"/>
        <v>19735</v>
      </c>
      <c r="J648" s="6">
        <f t="shared" si="6"/>
        <v>80974</v>
      </c>
      <c r="K648" s="9"/>
      <c r="L648" s="9"/>
      <c r="M648" s="9"/>
      <c r="N648" s="9">
        <f t="shared" si="7"/>
        <v>21.13100209</v>
      </c>
      <c r="O648" s="10">
        <f t="shared" si="8"/>
        <v>21.10132159</v>
      </c>
      <c r="P648" s="9">
        <v>30.0</v>
      </c>
      <c r="Q648" s="11" t="str">
        <f t="shared" si="9"/>
        <v>¡Compra YA!</v>
      </c>
      <c r="R648" s="12"/>
      <c r="S648" s="8"/>
      <c r="T648" s="12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5.75" customHeight="1">
      <c r="A649" s="5" t="s">
        <v>1283</v>
      </c>
      <c r="B649" s="6" t="s">
        <v>1284</v>
      </c>
      <c r="C649" s="6">
        <f t="shared" si="1"/>
        <v>3294</v>
      </c>
      <c r="D649" s="6">
        <f t="shared" si="42"/>
        <v>41</v>
      </c>
      <c r="E649" s="7">
        <v>0.0</v>
      </c>
      <c r="F649" s="8"/>
      <c r="G649" s="6">
        <f t="shared" si="3"/>
        <v>8576</v>
      </c>
      <c r="H649" s="6">
        <f t="shared" si="4"/>
        <v>13214</v>
      </c>
      <c r="I649" s="6">
        <f t="shared" si="5"/>
        <v>25785</v>
      </c>
      <c r="J649" s="6">
        <f t="shared" si="6"/>
        <v>57153</v>
      </c>
      <c r="K649" s="9"/>
      <c r="L649" s="9"/>
      <c r="M649" s="9"/>
      <c r="N649" s="9">
        <f t="shared" si="7"/>
        <v>17.35063752</v>
      </c>
      <c r="O649" s="10">
        <f t="shared" si="8"/>
        <v>11.52285448</v>
      </c>
      <c r="P649" s="9">
        <v>30.0</v>
      </c>
      <c r="Q649" s="11" t="str">
        <f t="shared" si="9"/>
        <v>¡Compra YA!</v>
      </c>
      <c r="R649" s="12"/>
      <c r="S649" s="8"/>
      <c r="T649" s="12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5.75" customHeight="1">
      <c r="A650" s="5" t="s">
        <v>1285</v>
      </c>
      <c r="B650" s="6" t="s">
        <v>1286</v>
      </c>
      <c r="C650" s="6">
        <f t="shared" si="1"/>
        <v>5965</v>
      </c>
      <c r="D650" s="6">
        <f t="shared" si="42"/>
        <v>80</v>
      </c>
      <c r="E650" s="7">
        <v>0.0</v>
      </c>
      <c r="F650" s="8"/>
      <c r="G650" s="6">
        <f t="shared" si="3"/>
        <v>3275</v>
      </c>
      <c r="H650" s="6">
        <f t="shared" si="4"/>
        <v>18759</v>
      </c>
      <c r="I650" s="6">
        <f t="shared" si="5"/>
        <v>26768</v>
      </c>
      <c r="J650" s="6">
        <f t="shared" si="6"/>
        <v>41817</v>
      </c>
      <c r="K650" s="9"/>
      <c r="L650" s="9"/>
      <c r="M650" s="9"/>
      <c r="N650" s="9">
        <f t="shared" si="7"/>
        <v>7.010393965</v>
      </c>
      <c r="O650" s="10">
        <f t="shared" si="8"/>
        <v>54.64122137</v>
      </c>
      <c r="P650" s="9">
        <v>30.0</v>
      </c>
      <c r="Q650" s="11" t="str">
        <f t="shared" si="9"/>
        <v>cobertura correcta</v>
      </c>
      <c r="R650" s="12"/>
      <c r="S650" s="8"/>
      <c r="T650" s="12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5.75" customHeight="1">
      <c r="A651" s="5" t="s">
        <v>1287</v>
      </c>
      <c r="B651" s="6" t="s">
        <v>1288</v>
      </c>
      <c r="C651" s="6">
        <f t="shared" si="1"/>
        <v>8763</v>
      </c>
      <c r="D651" s="6">
        <f t="shared" si="42"/>
        <v>87</v>
      </c>
      <c r="E651" s="7">
        <v>0.0</v>
      </c>
      <c r="F651" s="8"/>
      <c r="G651" s="6">
        <f t="shared" si="3"/>
        <v>3135</v>
      </c>
      <c r="H651" s="6">
        <f t="shared" si="4"/>
        <v>15312</v>
      </c>
      <c r="I651" s="6">
        <f t="shared" si="5"/>
        <v>20980</v>
      </c>
      <c r="J651" s="6">
        <f t="shared" si="6"/>
        <v>50107</v>
      </c>
      <c r="K651" s="9"/>
      <c r="L651" s="9"/>
      <c r="M651" s="9"/>
      <c r="N651" s="9">
        <f t="shared" si="7"/>
        <v>5.718018943</v>
      </c>
      <c r="O651" s="10">
        <f t="shared" si="8"/>
        <v>83.85645933</v>
      </c>
      <c r="P651" s="9">
        <v>30.0</v>
      </c>
      <c r="Q651" s="11" t="str">
        <f t="shared" si="9"/>
        <v>cobertura correcta</v>
      </c>
      <c r="R651" s="12"/>
      <c r="S651" s="8"/>
      <c r="T651" s="12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5.75" customHeight="1">
      <c r="A652" s="5" t="s">
        <v>1289</v>
      </c>
      <c r="B652" s="6" t="s">
        <v>1290</v>
      </c>
      <c r="C652" s="6">
        <f t="shared" si="1"/>
        <v>6002</v>
      </c>
      <c r="D652" s="6">
        <f t="shared" si="42"/>
        <v>85</v>
      </c>
      <c r="E652" s="7">
        <v>0.0</v>
      </c>
      <c r="F652" s="8"/>
      <c r="G652" s="6">
        <f t="shared" si="3"/>
        <v>1888</v>
      </c>
      <c r="H652" s="6">
        <f t="shared" si="4"/>
        <v>14736</v>
      </c>
      <c r="I652" s="6">
        <f t="shared" si="5"/>
        <v>19757</v>
      </c>
      <c r="J652" s="6">
        <f t="shared" si="6"/>
        <v>71258</v>
      </c>
      <c r="K652" s="9"/>
      <c r="L652" s="9"/>
      <c r="M652" s="9"/>
      <c r="N652" s="9">
        <f t="shared" si="7"/>
        <v>11.87237587</v>
      </c>
      <c r="O652" s="10">
        <f t="shared" si="8"/>
        <v>95.37076271</v>
      </c>
      <c r="P652" s="9">
        <v>30.0</v>
      </c>
      <c r="Q652" s="11" t="str">
        <f t="shared" si="9"/>
        <v>cobertura correcta</v>
      </c>
      <c r="R652" s="12"/>
      <c r="S652" s="8"/>
      <c r="T652" s="12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5.75" customHeight="1">
      <c r="A653" s="5" t="s">
        <v>1291</v>
      </c>
      <c r="B653" s="6" t="s">
        <v>1292</v>
      </c>
      <c r="C653" s="6">
        <f t="shared" si="1"/>
        <v>6706</v>
      </c>
      <c r="D653" s="6">
        <f t="shared" si="42"/>
        <v>59</v>
      </c>
      <c r="E653" s="7">
        <v>0.0</v>
      </c>
      <c r="F653" s="8"/>
      <c r="G653" s="6">
        <f t="shared" si="3"/>
        <v>1201</v>
      </c>
      <c r="H653" s="6">
        <f t="shared" si="4"/>
        <v>14609</v>
      </c>
      <c r="I653" s="6">
        <f t="shared" si="5"/>
        <v>25492</v>
      </c>
      <c r="J653" s="6">
        <f t="shared" si="6"/>
        <v>83332</v>
      </c>
      <c r="K653" s="9"/>
      <c r="L653" s="9"/>
      <c r="M653" s="9"/>
      <c r="N653" s="9">
        <f t="shared" si="7"/>
        <v>12.42648375</v>
      </c>
      <c r="O653" s="10">
        <f t="shared" si="8"/>
        <v>167.510408</v>
      </c>
      <c r="P653" s="9">
        <v>30.0</v>
      </c>
      <c r="Q653" s="11" t="str">
        <f t="shared" si="9"/>
        <v>cobertura correcta</v>
      </c>
      <c r="R653" s="12"/>
      <c r="S653" s="8"/>
      <c r="T653" s="12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5.75" customHeight="1">
      <c r="A654" s="5" t="s">
        <v>1293</v>
      </c>
      <c r="B654" s="6" t="s">
        <v>1294</v>
      </c>
      <c r="C654" s="6">
        <f t="shared" si="1"/>
        <v>5126</v>
      </c>
      <c r="D654" s="6">
        <f t="shared" si="42"/>
        <v>33</v>
      </c>
      <c r="E654" s="7">
        <v>0.0</v>
      </c>
      <c r="F654" s="8"/>
      <c r="G654" s="6">
        <f t="shared" si="3"/>
        <v>5916</v>
      </c>
      <c r="H654" s="6">
        <f t="shared" si="4"/>
        <v>17932</v>
      </c>
      <c r="I654" s="6">
        <f t="shared" si="5"/>
        <v>22978</v>
      </c>
      <c r="J654" s="6">
        <f t="shared" si="6"/>
        <v>29323</v>
      </c>
      <c r="K654" s="9"/>
      <c r="L654" s="9"/>
      <c r="M654" s="9"/>
      <c r="N654" s="9">
        <f t="shared" si="7"/>
        <v>5.720444791</v>
      </c>
      <c r="O654" s="10">
        <f t="shared" si="8"/>
        <v>25.99391481</v>
      </c>
      <c r="P654" s="9">
        <v>30.0</v>
      </c>
      <c r="Q654" s="11" t="str">
        <f t="shared" si="9"/>
        <v>¡Compra YA!</v>
      </c>
      <c r="R654" s="12"/>
      <c r="S654" s="8"/>
      <c r="T654" s="12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5.75" customHeight="1">
      <c r="A655" s="5" t="s">
        <v>1295</v>
      </c>
      <c r="B655" s="6"/>
      <c r="C655" s="6">
        <f t="shared" si="1"/>
        <v>2671</v>
      </c>
      <c r="D655" s="6">
        <f t="shared" si="42"/>
        <v>81</v>
      </c>
      <c r="E655" s="7">
        <v>0.0</v>
      </c>
      <c r="F655" s="8"/>
      <c r="G655" s="6">
        <f t="shared" si="3"/>
        <v>1112</v>
      </c>
      <c r="H655" s="6">
        <f t="shared" si="4"/>
        <v>10633</v>
      </c>
      <c r="I655" s="6">
        <f t="shared" si="5"/>
        <v>25170</v>
      </c>
      <c r="J655" s="6">
        <f t="shared" si="6"/>
        <v>29144</v>
      </c>
      <c r="K655" s="9"/>
      <c r="L655" s="9"/>
      <c r="M655" s="9"/>
      <c r="N655" s="9">
        <f t="shared" si="7"/>
        <v>10.91126919</v>
      </c>
      <c r="O655" s="10">
        <f t="shared" si="8"/>
        <v>72.05935252</v>
      </c>
      <c r="P655" s="9">
        <v>30.0</v>
      </c>
      <c r="Q655" s="11" t="str">
        <f t="shared" si="9"/>
        <v>cobertura correcta</v>
      </c>
      <c r="R655" s="12"/>
      <c r="S655" s="8"/>
      <c r="T655" s="12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5.75" customHeight="1">
      <c r="A656" s="5" t="s">
        <v>1296</v>
      </c>
      <c r="B656" s="6"/>
      <c r="C656" s="6">
        <f t="shared" si="1"/>
        <v>2345</v>
      </c>
      <c r="D656" s="6">
        <f t="shared" si="42"/>
        <v>185</v>
      </c>
      <c r="E656" s="7">
        <v>0.0</v>
      </c>
      <c r="F656" s="8"/>
      <c r="G656" s="6">
        <f t="shared" si="3"/>
        <v>2243</v>
      </c>
      <c r="H656" s="6">
        <f t="shared" si="4"/>
        <v>14794</v>
      </c>
      <c r="I656" s="6">
        <f t="shared" si="5"/>
        <v>21802</v>
      </c>
      <c r="J656" s="6">
        <f t="shared" si="6"/>
        <v>84446</v>
      </c>
      <c r="K656" s="9"/>
      <c r="L656" s="9"/>
      <c r="M656" s="9"/>
      <c r="N656" s="9">
        <f t="shared" si="7"/>
        <v>36.01108742</v>
      </c>
      <c r="O656" s="10">
        <f t="shared" si="8"/>
        <v>31.36424432</v>
      </c>
      <c r="P656" s="9">
        <v>30.0</v>
      </c>
      <c r="Q656" s="11" t="str">
        <f t="shared" si="9"/>
        <v>cobertura correcta</v>
      </c>
      <c r="R656" s="12"/>
      <c r="S656" s="8"/>
      <c r="T656" s="12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5.75" customHeight="1">
      <c r="A657" s="5" t="s">
        <v>1297</v>
      </c>
      <c r="B657" s="6"/>
      <c r="C657" s="6">
        <f t="shared" si="1"/>
        <v>2896</v>
      </c>
      <c r="D657" s="6">
        <f t="shared" si="42"/>
        <v>61</v>
      </c>
      <c r="E657" s="7">
        <v>0.0</v>
      </c>
      <c r="F657" s="8"/>
      <c r="G657" s="6">
        <f t="shared" si="3"/>
        <v>6319</v>
      </c>
      <c r="H657" s="6">
        <f t="shared" si="4"/>
        <v>14485</v>
      </c>
      <c r="I657" s="6">
        <f t="shared" si="5"/>
        <v>22709</v>
      </c>
      <c r="J657" s="6">
        <f t="shared" si="6"/>
        <v>47165</v>
      </c>
      <c r="K657" s="9"/>
      <c r="L657" s="9"/>
      <c r="M657" s="9"/>
      <c r="N657" s="9">
        <f t="shared" si="7"/>
        <v>16.28625691</v>
      </c>
      <c r="O657" s="10">
        <f t="shared" si="8"/>
        <v>13.74901092</v>
      </c>
      <c r="P657" s="9">
        <v>30.0</v>
      </c>
      <c r="Q657" s="11" t="str">
        <f t="shared" si="9"/>
        <v>¡Compra YA!</v>
      </c>
      <c r="R657" s="12"/>
      <c r="S657" s="8"/>
      <c r="T657" s="12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5.75" customHeight="1">
      <c r="A658" s="5" t="s">
        <v>1298</v>
      </c>
      <c r="B658" s="6"/>
      <c r="C658" s="6">
        <f t="shared" si="1"/>
        <v>1008</v>
      </c>
      <c r="D658" s="6">
        <f t="shared" si="42"/>
        <v>86</v>
      </c>
      <c r="E658" s="7">
        <v>0.0</v>
      </c>
      <c r="F658" s="8"/>
      <c r="G658" s="6">
        <f t="shared" si="3"/>
        <v>5821</v>
      </c>
      <c r="H658" s="6">
        <f t="shared" si="4"/>
        <v>17031</v>
      </c>
      <c r="I658" s="6">
        <f t="shared" si="5"/>
        <v>21594</v>
      </c>
      <c r="J658" s="6">
        <f t="shared" si="6"/>
        <v>82417</v>
      </c>
      <c r="K658" s="9"/>
      <c r="L658" s="9"/>
      <c r="M658" s="9"/>
      <c r="N658" s="9">
        <f t="shared" si="7"/>
        <v>81.76289683</v>
      </c>
      <c r="O658" s="10">
        <f t="shared" si="8"/>
        <v>5.19498368</v>
      </c>
      <c r="P658" s="9">
        <v>30.0</v>
      </c>
      <c r="Q658" s="11" t="str">
        <f t="shared" si="9"/>
        <v>¡Compra YA!</v>
      </c>
      <c r="R658" s="12"/>
      <c r="S658" s="8"/>
      <c r="T658" s="12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5.75" customHeight="1">
      <c r="A659" s="5" t="s">
        <v>1299</v>
      </c>
      <c r="B659" s="6"/>
      <c r="C659" s="6">
        <f t="shared" si="1"/>
        <v>5132</v>
      </c>
      <c r="D659" s="6">
        <f t="shared" si="42"/>
        <v>191</v>
      </c>
      <c r="E659" s="7">
        <v>0.0</v>
      </c>
      <c r="F659" s="8"/>
      <c r="G659" s="6">
        <f t="shared" si="3"/>
        <v>4875</v>
      </c>
      <c r="H659" s="6">
        <f t="shared" si="4"/>
        <v>12644</v>
      </c>
      <c r="I659" s="6">
        <f t="shared" si="5"/>
        <v>27999</v>
      </c>
      <c r="J659" s="6">
        <f t="shared" si="6"/>
        <v>87910</v>
      </c>
      <c r="K659" s="9"/>
      <c r="L659" s="9"/>
      <c r="M659" s="9"/>
      <c r="N659" s="9">
        <f t="shared" si="7"/>
        <v>17.12977397</v>
      </c>
      <c r="O659" s="10">
        <f t="shared" si="8"/>
        <v>31.58153846</v>
      </c>
      <c r="P659" s="9">
        <v>30.0</v>
      </c>
      <c r="Q659" s="11" t="str">
        <f t="shared" si="9"/>
        <v>cobertura correcta</v>
      </c>
      <c r="R659" s="12"/>
      <c r="S659" s="8"/>
      <c r="T659" s="12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5.75" customHeight="1">
      <c r="A660" s="5" t="s">
        <v>1300</v>
      </c>
      <c r="B660" s="6"/>
      <c r="C660" s="6">
        <f t="shared" si="1"/>
        <v>2752</v>
      </c>
      <c r="D660" s="6">
        <f t="shared" si="42"/>
        <v>29</v>
      </c>
      <c r="E660" s="7">
        <v>0.0</v>
      </c>
      <c r="F660" s="8"/>
      <c r="G660" s="6">
        <f t="shared" si="3"/>
        <v>2628</v>
      </c>
      <c r="H660" s="6">
        <f t="shared" si="4"/>
        <v>16774</v>
      </c>
      <c r="I660" s="6">
        <f t="shared" si="5"/>
        <v>22626</v>
      </c>
      <c r="J660" s="6">
        <f t="shared" si="6"/>
        <v>65579</v>
      </c>
      <c r="K660" s="9"/>
      <c r="L660" s="9"/>
      <c r="M660" s="9"/>
      <c r="N660" s="9">
        <f t="shared" si="7"/>
        <v>23.82957849</v>
      </c>
      <c r="O660" s="10">
        <f t="shared" si="8"/>
        <v>31.41552511</v>
      </c>
      <c r="P660" s="9">
        <v>30.0</v>
      </c>
      <c r="Q660" s="11" t="str">
        <f t="shared" si="9"/>
        <v>cobertura correcta</v>
      </c>
      <c r="R660" s="12"/>
      <c r="S660" s="8"/>
      <c r="T660" s="12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5.75" customHeight="1">
      <c r="A661" s="5" t="s">
        <v>1301</v>
      </c>
      <c r="B661" s="6"/>
      <c r="C661" s="6">
        <f t="shared" si="1"/>
        <v>1236</v>
      </c>
      <c r="D661" s="6">
        <f t="shared" si="42"/>
        <v>21</v>
      </c>
      <c r="E661" s="7">
        <v>0.0</v>
      </c>
      <c r="F661" s="8"/>
      <c r="G661" s="6">
        <f t="shared" si="3"/>
        <v>6650</v>
      </c>
      <c r="H661" s="6">
        <f t="shared" si="4"/>
        <v>11021</v>
      </c>
      <c r="I661" s="6">
        <f t="shared" si="5"/>
        <v>24815</v>
      </c>
      <c r="J661" s="6">
        <f t="shared" si="6"/>
        <v>86567</v>
      </c>
      <c r="K661" s="9"/>
      <c r="L661" s="9"/>
      <c r="M661" s="9"/>
      <c r="N661" s="9">
        <f t="shared" si="7"/>
        <v>70.03802589</v>
      </c>
      <c r="O661" s="10">
        <f t="shared" si="8"/>
        <v>5.57593985</v>
      </c>
      <c r="P661" s="9">
        <v>30.0</v>
      </c>
      <c r="Q661" s="11" t="str">
        <f t="shared" si="9"/>
        <v>¡Compra YA!</v>
      </c>
      <c r="R661" s="12"/>
      <c r="S661" s="8"/>
      <c r="T661" s="12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5.75" customHeight="1">
      <c r="A662" s="5" t="s">
        <v>1302</v>
      </c>
      <c r="B662" s="6"/>
      <c r="C662" s="6">
        <f t="shared" si="1"/>
        <v>5136</v>
      </c>
      <c r="D662" s="6">
        <f t="shared" si="42"/>
        <v>76</v>
      </c>
      <c r="E662" s="7">
        <v>0.0</v>
      </c>
      <c r="F662" s="8"/>
      <c r="G662" s="6">
        <f t="shared" si="3"/>
        <v>2848</v>
      </c>
      <c r="H662" s="6">
        <f t="shared" si="4"/>
        <v>13821</v>
      </c>
      <c r="I662" s="6">
        <f t="shared" si="5"/>
        <v>26985</v>
      </c>
      <c r="J662" s="6">
        <f t="shared" si="6"/>
        <v>87771</v>
      </c>
      <c r="K662" s="9"/>
      <c r="L662" s="9"/>
      <c r="M662" s="9"/>
      <c r="N662" s="9">
        <f t="shared" si="7"/>
        <v>17.08936916</v>
      </c>
      <c r="O662" s="10">
        <f t="shared" si="8"/>
        <v>54.1011236</v>
      </c>
      <c r="P662" s="9">
        <v>30.0</v>
      </c>
      <c r="Q662" s="11" t="str">
        <f t="shared" si="9"/>
        <v>cobertura correcta</v>
      </c>
      <c r="R662" s="12"/>
      <c r="S662" s="8"/>
      <c r="T662" s="12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5.75" customHeight="1">
      <c r="A663" s="5" t="s">
        <v>1303</v>
      </c>
      <c r="B663" s="6"/>
      <c r="C663" s="6">
        <f t="shared" si="1"/>
        <v>2969</v>
      </c>
      <c r="D663" s="6">
        <f t="shared" si="42"/>
        <v>106</v>
      </c>
      <c r="E663" s="7">
        <v>0.0</v>
      </c>
      <c r="F663" s="8"/>
      <c r="G663" s="6">
        <f t="shared" si="3"/>
        <v>1252</v>
      </c>
      <c r="H663" s="6">
        <f t="shared" si="4"/>
        <v>16816</v>
      </c>
      <c r="I663" s="6">
        <f t="shared" si="5"/>
        <v>27520</v>
      </c>
      <c r="J663" s="6">
        <f t="shared" si="6"/>
        <v>77240</v>
      </c>
      <c r="K663" s="9"/>
      <c r="L663" s="9"/>
      <c r="M663" s="9"/>
      <c r="N663" s="9">
        <f t="shared" si="7"/>
        <v>26.01549343</v>
      </c>
      <c r="O663" s="10">
        <f t="shared" si="8"/>
        <v>71.14217252</v>
      </c>
      <c r="P663" s="9">
        <v>30.0</v>
      </c>
      <c r="Q663" s="11" t="str">
        <f t="shared" si="9"/>
        <v>cobertura correcta</v>
      </c>
      <c r="R663" s="12"/>
      <c r="S663" s="8"/>
      <c r="T663" s="12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5.75" customHeight="1">
      <c r="A664" s="5" t="s">
        <v>1304</v>
      </c>
      <c r="B664" s="6"/>
      <c r="C664" s="6">
        <f t="shared" si="1"/>
        <v>3270</v>
      </c>
      <c r="D664" s="6">
        <f t="shared" si="42"/>
        <v>74</v>
      </c>
      <c r="E664" s="7">
        <v>0.0</v>
      </c>
      <c r="F664" s="8"/>
      <c r="G664" s="6">
        <f t="shared" si="3"/>
        <v>3944</v>
      </c>
      <c r="H664" s="6">
        <f t="shared" si="4"/>
        <v>17769</v>
      </c>
      <c r="I664" s="6">
        <f t="shared" si="5"/>
        <v>25282</v>
      </c>
      <c r="J664" s="6">
        <f t="shared" si="6"/>
        <v>58694</v>
      </c>
      <c r="K664" s="9"/>
      <c r="L664" s="9"/>
      <c r="M664" s="9"/>
      <c r="N664" s="9">
        <f t="shared" si="7"/>
        <v>17.94923547</v>
      </c>
      <c r="O664" s="10">
        <f t="shared" si="8"/>
        <v>24.87322515</v>
      </c>
      <c r="P664" s="9">
        <v>30.0</v>
      </c>
      <c r="Q664" s="11" t="str">
        <f t="shared" si="9"/>
        <v>¡Compra YA!</v>
      </c>
      <c r="R664" s="12"/>
      <c r="S664" s="8"/>
      <c r="T664" s="12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5.75" customHeight="1">
      <c r="A665" s="5" t="s">
        <v>1305</v>
      </c>
      <c r="B665" s="6"/>
      <c r="C665" s="6">
        <f t="shared" si="1"/>
        <v>7885</v>
      </c>
      <c r="D665" s="6">
        <f t="shared" si="42"/>
        <v>116</v>
      </c>
      <c r="E665" s="7">
        <v>0.0</v>
      </c>
      <c r="F665" s="8"/>
      <c r="G665" s="6">
        <f t="shared" si="3"/>
        <v>7628</v>
      </c>
      <c r="H665" s="6">
        <f t="shared" si="4"/>
        <v>15729</v>
      </c>
      <c r="I665" s="6">
        <f t="shared" si="5"/>
        <v>24002</v>
      </c>
      <c r="J665" s="6">
        <f t="shared" si="6"/>
        <v>93759</v>
      </c>
      <c r="K665" s="9"/>
      <c r="L665" s="9"/>
      <c r="M665" s="9"/>
      <c r="N665" s="9">
        <f t="shared" si="7"/>
        <v>11.89080533</v>
      </c>
      <c r="O665" s="10">
        <f t="shared" si="8"/>
        <v>31.01074987</v>
      </c>
      <c r="P665" s="9">
        <v>30.0</v>
      </c>
      <c r="Q665" s="11" t="str">
        <f t="shared" si="9"/>
        <v>cobertura correcta</v>
      </c>
      <c r="R665" s="12"/>
      <c r="S665" s="8"/>
      <c r="T665" s="12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5.75" customHeight="1">
      <c r="A666" s="5" t="s">
        <v>1306</v>
      </c>
      <c r="B666" s="6"/>
      <c r="C666" s="6">
        <f t="shared" si="1"/>
        <v>8604</v>
      </c>
      <c r="D666" s="6">
        <f t="shared" si="42"/>
        <v>60</v>
      </c>
      <c r="E666" s="7">
        <v>0.0</v>
      </c>
      <c r="F666" s="8"/>
      <c r="G666" s="6">
        <f t="shared" si="3"/>
        <v>1521</v>
      </c>
      <c r="H666" s="6">
        <f t="shared" si="4"/>
        <v>14416</v>
      </c>
      <c r="I666" s="6">
        <f t="shared" si="5"/>
        <v>21884</v>
      </c>
      <c r="J666" s="6">
        <f t="shared" si="6"/>
        <v>46849</v>
      </c>
      <c r="K666" s="9"/>
      <c r="L666" s="9"/>
      <c r="M666" s="9"/>
      <c r="N666" s="9">
        <f t="shared" si="7"/>
        <v>5.44502557</v>
      </c>
      <c r="O666" s="10">
        <f t="shared" si="8"/>
        <v>169.704142</v>
      </c>
      <c r="P666" s="9">
        <v>30.0</v>
      </c>
      <c r="Q666" s="11" t="str">
        <f t="shared" si="9"/>
        <v>cobertura correcta</v>
      </c>
      <c r="R666" s="12"/>
      <c r="S666" s="8"/>
      <c r="T666" s="12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5.75" customHeight="1">
      <c r="A667" s="5" t="s">
        <v>1307</v>
      </c>
      <c r="B667" s="6"/>
      <c r="C667" s="6">
        <f t="shared" si="1"/>
        <v>7431</v>
      </c>
      <c r="D667" s="6">
        <f t="shared" si="42"/>
        <v>105</v>
      </c>
      <c r="E667" s="7">
        <v>0.0</v>
      </c>
      <c r="F667" s="8"/>
      <c r="G667" s="6">
        <f t="shared" si="3"/>
        <v>2668</v>
      </c>
      <c r="H667" s="6">
        <f t="shared" si="4"/>
        <v>12084</v>
      </c>
      <c r="I667" s="6">
        <f t="shared" si="5"/>
        <v>28690</v>
      </c>
      <c r="J667" s="6">
        <f t="shared" si="6"/>
        <v>90754</v>
      </c>
      <c r="K667" s="9"/>
      <c r="L667" s="9"/>
      <c r="M667" s="9"/>
      <c r="N667" s="9">
        <f t="shared" si="7"/>
        <v>12.21289194</v>
      </c>
      <c r="O667" s="10">
        <f t="shared" si="8"/>
        <v>83.55697151</v>
      </c>
      <c r="P667" s="9">
        <v>30.0</v>
      </c>
      <c r="Q667" s="11" t="str">
        <f t="shared" si="9"/>
        <v>cobertura correcta</v>
      </c>
      <c r="R667" s="12"/>
      <c r="S667" s="8"/>
      <c r="T667" s="12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5.75" customHeight="1">
      <c r="A668" s="5" t="s">
        <v>1308</v>
      </c>
      <c r="B668" s="6"/>
      <c r="C668" s="6">
        <f t="shared" si="1"/>
        <v>4100</v>
      </c>
      <c r="D668" s="6">
        <f t="shared" si="42"/>
        <v>29</v>
      </c>
      <c r="E668" s="7">
        <v>0.0</v>
      </c>
      <c r="F668" s="8"/>
      <c r="G668" s="6">
        <f t="shared" si="3"/>
        <v>7270</v>
      </c>
      <c r="H668" s="6">
        <f t="shared" si="4"/>
        <v>13770</v>
      </c>
      <c r="I668" s="6">
        <f t="shared" si="5"/>
        <v>27574</v>
      </c>
      <c r="J668" s="6">
        <f t="shared" si="6"/>
        <v>56038</v>
      </c>
      <c r="K668" s="9"/>
      <c r="L668" s="9"/>
      <c r="M668" s="9"/>
      <c r="N668" s="9">
        <f t="shared" si="7"/>
        <v>13.66780488</v>
      </c>
      <c r="O668" s="10">
        <f t="shared" si="8"/>
        <v>16.91884457</v>
      </c>
      <c r="P668" s="9">
        <v>30.0</v>
      </c>
      <c r="Q668" s="11" t="str">
        <f t="shared" si="9"/>
        <v>¡Compra YA!</v>
      </c>
      <c r="R668" s="12"/>
      <c r="S668" s="8"/>
      <c r="T668" s="12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5" t="s">
        <v>1309</v>
      </c>
      <c r="B669" s="6"/>
      <c r="C669" s="6">
        <f t="shared" si="1"/>
        <v>3918</v>
      </c>
      <c r="D669" s="6">
        <f t="shared" si="42"/>
        <v>5</v>
      </c>
      <c r="E669" s="7">
        <v>0.0</v>
      </c>
      <c r="F669" s="8"/>
      <c r="G669" s="6">
        <f t="shared" si="3"/>
        <v>1191</v>
      </c>
      <c r="H669" s="6">
        <f t="shared" si="4"/>
        <v>9267</v>
      </c>
      <c r="I669" s="6">
        <f t="shared" si="5"/>
        <v>24004</v>
      </c>
      <c r="J669" s="6">
        <f t="shared" si="6"/>
        <v>94255</v>
      </c>
      <c r="K669" s="9"/>
      <c r="L669" s="9"/>
      <c r="M669" s="9"/>
      <c r="N669" s="9">
        <f t="shared" si="7"/>
        <v>24.05691679</v>
      </c>
      <c r="O669" s="10">
        <f t="shared" si="8"/>
        <v>98.69017632</v>
      </c>
      <c r="P669" s="9">
        <v>30.0</v>
      </c>
      <c r="Q669" s="11" t="str">
        <f t="shared" si="9"/>
        <v>cobertura correcta</v>
      </c>
      <c r="R669" s="12"/>
      <c r="S669" s="8"/>
      <c r="T669" s="12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5.75" customHeight="1">
      <c r="A670" s="5" t="s">
        <v>1310</v>
      </c>
      <c r="B670" s="6"/>
      <c r="C670" s="6">
        <f t="shared" si="1"/>
        <v>7436</v>
      </c>
      <c r="D670" s="6">
        <f t="shared" si="42"/>
        <v>37</v>
      </c>
      <c r="E670" s="7">
        <v>0.0</v>
      </c>
      <c r="F670" s="8"/>
      <c r="G670" s="6">
        <f t="shared" si="3"/>
        <v>1583</v>
      </c>
      <c r="H670" s="6">
        <f t="shared" si="4"/>
        <v>15438</v>
      </c>
      <c r="I670" s="6">
        <f t="shared" si="5"/>
        <v>24778</v>
      </c>
      <c r="J670" s="6">
        <f t="shared" si="6"/>
        <v>92815</v>
      </c>
      <c r="K670" s="9"/>
      <c r="L670" s="9"/>
      <c r="M670" s="9"/>
      <c r="N670" s="9">
        <f t="shared" si="7"/>
        <v>12.48184508</v>
      </c>
      <c r="O670" s="10">
        <f t="shared" si="8"/>
        <v>140.9222994</v>
      </c>
      <c r="P670" s="9">
        <v>30.0</v>
      </c>
      <c r="Q670" s="11" t="str">
        <f t="shared" si="9"/>
        <v>cobertura correcta</v>
      </c>
      <c r="R670" s="12"/>
      <c r="S670" s="8"/>
      <c r="T670" s="12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5.75" customHeight="1">
      <c r="A671" s="5" t="s">
        <v>1311</v>
      </c>
      <c r="B671" s="6"/>
      <c r="C671" s="6">
        <f t="shared" si="1"/>
        <v>7947</v>
      </c>
      <c r="D671" s="6">
        <f t="shared" si="42"/>
        <v>94</v>
      </c>
      <c r="E671" s="7">
        <v>0.0</v>
      </c>
      <c r="F671" s="8"/>
      <c r="G671" s="6">
        <f t="shared" si="3"/>
        <v>6496</v>
      </c>
      <c r="H671" s="6">
        <f t="shared" si="4"/>
        <v>9136</v>
      </c>
      <c r="I671" s="6">
        <f t="shared" si="5"/>
        <v>20289</v>
      </c>
      <c r="J671" s="6">
        <f t="shared" si="6"/>
        <v>72442</v>
      </c>
      <c r="K671" s="9"/>
      <c r="L671" s="9"/>
      <c r="M671" s="9"/>
      <c r="N671" s="9">
        <f t="shared" si="7"/>
        <v>9.115641122</v>
      </c>
      <c r="O671" s="10">
        <f t="shared" si="8"/>
        <v>36.7010468</v>
      </c>
      <c r="P671" s="9">
        <v>30.0</v>
      </c>
      <c r="Q671" s="11" t="str">
        <f t="shared" si="9"/>
        <v>cobertura correcta</v>
      </c>
      <c r="R671" s="12"/>
      <c r="S671" s="8"/>
      <c r="T671" s="12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5.75" customHeight="1">
      <c r="A672" s="5" t="s">
        <v>1312</v>
      </c>
      <c r="B672" s="6"/>
      <c r="C672" s="6">
        <f t="shared" si="1"/>
        <v>8103</v>
      </c>
      <c r="D672" s="6">
        <f t="shared" si="42"/>
        <v>7</v>
      </c>
      <c r="E672" s="7">
        <v>0.0</v>
      </c>
      <c r="F672" s="8"/>
      <c r="G672" s="6">
        <f t="shared" si="3"/>
        <v>4583</v>
      </c>
      <c r="H672" s="6">
        <f t="shared" si="4"/>
        <v>18588</v>
      </c>
      <c r="I672" s="6">
        <f t="shared" si="5"/>
        <v>19545</v>
      </c>
      <c r="J672" s="6">
        <f t="shared" si="6"/>
        <v>87814</v>
      </c>
      <c r="K672" s="9"/>
      <c r="L672" s="9"/>
      <c r="M672" s="9"/>
      <c r="N672" s="9">
        <f t="shared" si="7"/>
        <v>10.83722078</v>
      </c>
      <c r="O672" s="10">
        <f t="shared" si="8"/>
        <v>53.04167576</v>
      </c>
      <c r="P672" s="9">
        <v>30.0</v>
      </c>
      <c r="Q672" s="11" t="str">
        <f t="shared" si="9"/>
        <v>cobertura correcta</v>
      </c>
      <c r="R672" s="12"/>
      <c r="S672" s="8"/>
      <c r="T672" s="12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5.75" customHeight="1">
      <c r="A673" s="5" t="s">
        <v>1313</v>
      </c>
      <c r="B673" s="6"/>
      <c r="C673" s="6">
        <f t="shared" si="1"/>
        <v>1945</v>
      </c>
      <c r="D673" s="6">
        <f t="shared" si="42"/>
        <v>176</v>
      </c>
      <c r="E673" s="7">
        <v>0.0</v>
      </c>
      <c r="F673" s="8"/>
      <c r="G673" s="6">
        <f t="shared" si="3"/>
        <v>2951</v>
      </c>
      <c r="H673" s="6">
        <f t="shared" si="4"/>
        <v>18007</v>
      </c>
      <c r="I673" s="6">
        <f t="shared" si="5"/>
        <v>24052</v>
      </c>
      <c r="J673" s="6">
        <f t="shared" si="6"/>
        <v>81630</v>
      </c>
      <c r="K673" s="9"/>
      <c r="L673" s="9"/>
      <c r="M673" s="9"/>
      <c r="N673" s="9">
        <f t="shared" si="7"/>
        <v>41.96915167</v>
      </c>
      <c r="O673" s="10">
        <f t="shared" si="8"/>
        <v>19.77295832</v>
      </c>
      <c r="P673" s="9">
        <v>30.0</v>
      </c>
      <c r="Q673" s="11" t="str">
        <f t="shared" si="9"/>
        <v>¡Compra YA!</v>
      </c>
      <c r="R673" s="12"/>
      <c r="S673" s="8"/>
      <c r="T673" s="12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5.75" customHeight="1">
      <c r="A674" s="5" t="s">
        <v>1314</v>
      </c>
      <c r="B674" s="6"/>
      <c r="C674" s="6">
        <f t="shared" si="1"/>
        <v>4829</v>
      </c>
      <c r="D674" s="6">
        <f t="shared" si="42"/>
        <v>4</v>
      </c>
      <c r="E674" s="7">
        <v>0.0</v>
      </c>
      <c r="F674" s="8"/>
      <c r="G674" s="6">
        <f t="shared" si="3"/>
        <v>6052</v>
      </c>
      <c r="H674" s="6">
        <f t="shared" si="4"/>
        <v>16068</v>
      </c>
      <c r="I674" s="6">
        <f t="shared" si="5"/>
        <v>24645</v>
      </c>
      <c r="J674" s="6">
        <f t="shared" si="6"/>
        <v>47048</v>
      </c>
      <c r="K674" s="9"/>
      <c r="L674" s="9"/>
      <c r="M674" s="9"/>
      <c r="N674" s="9">
        <f t="shared" si="7"/>
        <v>9.742803893</v>
      </c>
      <c r="O674" s="10">
        <f t="shared" si="8"/>
        <v>23.93754131</v>
      </c>
      <c r="P674" s="9">
        <v>30.0</v>
      </c>
      <c r="Q674" s="11" t="str">
        <f t="shared" si="9"/>
        <v>¡Compra YA!</v>
      </c>
      <c r="R674" s="12"/>
      <c r="S674" s="8"/>
      <c r="T674" s="12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5.75" customHeight="1">
      <c r="A675" s="5" t="s">
        <v>1315</v>
      </c>
      <c r="B675" s="6"/>
      <c r="C675" s="6">
        <f t="shared" si="1"/>
        <v>5019</v>
      </c>
      <c r="D675" s="6">
        <f t="shared" si="42"/>
        <v>58</v>
      </c>
      <c r="E675" s="7">
        <v>0.0</v>
      </c>
      <c r="F675" s="8"/>
      <c r="G675" s="6">
        <f t="shared" si="3"/>
        <v>8057</v>
      </c>
      <c r="H675" s="6">
        <f t="shared" si="4"/>
        <v>16687</v>
      </c>
      <c r="I675" s="6">
        <f t="shared" si="5"/>
        <v>26552</v>
      </c>
      <c r="J675" s="6">
        <f t="shared" si="6"/>
        <v>53794</v>
      </c>
      <c r="K675" s="9"/>
      <c r="L675" s="9"/>
      <c r="M675" s="9"/>
      <c r="N675" s="9">
        <f t="shared" si="7"/>
        <v>10.71807133</v>
      </c>
      <c r="O675" s="10">
        <f t="shared" si="8"/>
        <v>18.68809731</v>
      </c>
      <c r="P675" s="9">
        <v>30.0</v>
      </c>
      <c r="Q675" s="11" t="str">
        <f t="shared" si="9"/>
        <v>¡Compra YA!</v>
      </c>
      <c r="R675" s="12"/>
      <c r="S675" s="8"/>
      <c r="T675" s="12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5.75" customHeight="1">
      <c r="A676" s="5" t="s">
        <v>1316</v>
      </c>
      <c r="B676" s="6"/>
      <c r="C676" s="6">
        <f t="shared" si="1"/>
        <v>7369</v>
      </c>
      <c r="D676" s="6">
        <f t="shared" si="42"/>
        <v>167</v>
      </c>
      <c r="E676" s="7">
        <v>0.0</v>
      </c>
      <c r="F676" s="8"/>
      <c r="G676" s="6">
        <f t="shared" si="3"/>
        <v>6547</v>
      </c>
      <c r="H676" s="6">
        <f t="shared" si="4"/>
        <v>12286</v>
      </c>
      <c r="I676" s="6">
        <f t="shared" si="5"/>
        <v>22785</v>
      </c>
      <c r="J676" s="6">
        <f t="shared" si="6"/>
        <v>70255</v>
      </c>
      <c r="K676" s="9"/>
      <c r="L676" s="9"/>
      <c r="M676" s="9"/>
      <c r="N676" s="9">
        <f t="shared" si="7"/>
        <v>9.533858054</v>
      </c>
      <c r="O676" s="10">
        <f t="shared" si="8"/>
        <v>33.76661066</v>
      </c>
      <c r="P676" s="9">
        <v>30.0</v>
      </c>
      <c r="Q676" s="11" t="str">
        <f t="shared" si="9"/>
        <v>cobertura correcta</v>
      </c>
      <c r="R676" s="12"/>
      <c r="S676" s="8"/>
      <c r="T676" s="12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5.75" customHeight="1">
      <c r="A677" s="5" t="s">
        <v>1317</v>
      </c>
      <c r="B677" s="6"/>
      <c r="C677" s="6">
        <f t="shared" si="1"/>
        <v>5268</v>
      </c>
      <c r="D677" s="6">
        <f t="shared" si="42"/>
        <v>15</v>
      </c>
      <c r="E677" s="7">
        <v>0.0</v>
      </c>
      <c r="F677" s="8"/>
      <c r="G677" s="6">
        <f t="shared" si="3"/>
        <v>8029</v>
      </c>
      <c r="H677" s="6">
        <f t="shared" si="4"/>
        <v>15617</v>
      </c>
      <c r="I677" s="6">
        <f t="shared" si="5"/>
        <v>19419</v>
      </c>
      <c r="J677" s="6">
        <f t="shared" si="6"/>
        <v>88197</v>
      </c>
      <c r="K677" s="9"/>
      <c r="L677" s="9"/>
      <c r="M677" s="9"/>
      <c r="N677" s="9">
        <f t="shared" si="7"/>
        <v>16.74202733</v>
      </c>
      <c r="O677" s="10">
        <f t="shared" si="8"/>
        <v>19.68364678</v>
      </c>
      <c r="P677" s="9">
        <v>30.0</v>
      </c>
      <c r="Q677" s="11" t="str">
        <f t="shared" si="9"/>
        <v>¡Compra YA!</v>
      </c>
      <c r="R677" s="12"/>
      <c r="S677" s="8"/>
      <c r="T677" s="12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5.75" customHeight="1">
      <c r="A678" s="5" t="s">
        <v>1318</v>
      </c>
      <c r="B678" s="6"/>
      <c r="C678" s="6">
        <f t="shared" si="1"/>
        <v>5047</v>
      </c>
      <c r="D678" s="6">
        <f t="shared" si="42"/>
        <v>53</v>
      </c>
      <c r="E678" s="7">
        <v>0.0</v>
      </c>
      <c r="F678" s="8"/>
      <c r="G678" s="6">
        <f t="shared" si="3"/>
        <v>2660</v>
      </c>
      <c r="H678" s="6">
        <f t="shared" si="4"/>
        <v>9193</v>
      </c>
      <c r="I678" s="6">
        <f t="shared" si="5"/>
        <v>28010</v>
      </c>
      <c r="J678" s="6">
        <f t="shared" si="6"/>
        <v>74948</v>
      </c>
      <c r="K678" s="9"/>
      <c r="L678" s="9"/>
      <c r="M678" s="9"/>
      <c r="N678" s="9">
        <f t="shared" si="7"/>
        <v>14.85000991</v>
      </c>
      <c r="O678" s="10">
        <f t="shared" si="8"/>
        <v>56.92105263</v>
      </c>
      <c r="P678" s="9">
        <v>30.0</v>
      </c>
      <c r="Q678" s="11" t="str">
        <f t="shared" si="9"/>
        <v>cobertura correcta</v>
      </c>
      <c r="R678" s="12"/>
      <c r="S678" s="8"/>
      <c r="T678" s="12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5.75" customHeight="1">
      <c r="A679" s="5" t="s">
        <v>1319</v>
      </c>
      <c r="B679" s="6"/>
      <c r="C679" s="6">
        <f t="shared" si="1"/>
        <v>5800</v>
      </c>
      <c r="D679" s="6">
        <f t="shared" si="42"/>
        <v>80</v>
      </c>
      <c r="E679" s="7">
        <v>0.0</v>
      </c>
      <c r="F679" s="8"/>
      <c r="G679" s="6">
        <f t="shared" si="3"/>
        <v>3749</v>
      </c>
      <c r="H679" s="6">
        <f t="shared" si="4"/>
        <v>18252</v>
      </c>
      <c r="I679" s="6">
        <f t="shared" si="5"/>
        <v>19392</v>
      </c>
      <c r="J679" s="6">
        <f t="shared" si="6"/>
        <v>60588</v>
      </c>
      <c r="K679" s="9"/>
      <c r="L679" s="9"/>
      <c r="M679" s="9"/>
      <c r="N679" s="9">
        <f t="shared" si="7"/>
        <v>10.4462069</v>
      </c>
      <c r="O679" s="10">
        <f t="shared" si="8"/>
        <v>46.41237663</v>
      </c>
      <c r="P679" s="9">
        <v>30.0</v>
      </c>
      <c r="Q679" s="11" t="str">
        <f t="shared" si="9"/>
        <v>cobertura correcta</v>
      </c>
      <c r="R679" s="12"/>
      <c r="S679" s="8"/>
      <c r="T679" s="12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5.75" customHeight="1">
      <c r="A680" s="5" t="s">
        <v>1320</v>
      </c>
      <c r="B680" s="6"/>
      <c r="C680" s="6">
        <f t="shared" si="1"/>
        <v>1575</v>
      </c>
      <c r="D680" s="6">
        <f t="shared" si="42"/>
        <v>171</v>
      </c>
      <c r="E680" s="7">
        <v>0.0</v>
      </c>
      <c r="F680" s="8"/>
      <c r="G680" s="6">
        <f t="shared" si="3"/>
        <v>6658</v>
      </c>
      <c r="H680" s="6">
        <f t="shared" si="4"/>
        <v>14719</v>
      </c>
      <c r="I680" s="6">
        <f t="shared" si="5"/>
        <v>26551</v>
      </c>
      <c r="J680" s="6">
        <f t="shared" si="6"/>
        <v>80707</v>
      </c>
      <c r="K680" s="9"/>
      <c r="L680" s="9"/>
      <c r="M680" s="9"/>
      <c r="N680" s="9">
        <f t="shared" si="7"/>
        <v>51.24253968</v>
      </c>
      <c r="O680" s="10">
        <f t="shared" si="8"/>
        <v>7.096725743</v>
      </c>
      <c r="P680" s="9">
        <v>30.0</v>
      </c>
      <c r="Q680" s="11" t="str">
        <f t="shared" si="9"/>
        <v>¡Compra YA!</v>
      </c>
      <c r="R680" s="12"/>
      <c r="S680" s="8"/>
      <c r="T680" s="12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5.75" customHeight="1">
      <c r="A681" s="5" t="s">
        <v>1321</v>
      </c>
      <c r="B681" s="6"/>
      <c r="C681" s="6">
        <f t="shared" si="1"/>
        <v>6962</v>
      </c>
      <c r="D681" s="6">
        <f t="shared" si="42"/>
        <v>95</v>
      </c>
      <c r="E681" s="7">
        <v>0.0</v>
      </c>
      <c r="F681" s="8"/>
      <c r="G681" s="6">
        <f t="shared" si="3"/>
        <v>3056</v>
      </c>
      <c r="H681" s="6">
        <f t="shared" si="4"/>
        <v>15826</v>
      </c>
      <c r="I681" s="6">
        <f t="shared" si="5"/>
        <v>19560</v>
      </c>
      <c r="J681" s="6">
        <f t="shared" si="6"/>
        <v>78167</v>
      </c>
      <c r="K681" s="9"/>
      <c r="L681" s="9"/>
      <c r="M681" s="9"/>
      <c r="N681" s="9">
        <f t="shared" si="7"/>
        <v>11.22766446</v>
      </c>
      <c r="O681" s="10">
        <f t="shared" si="8"/>
        <v>68.34424084</v>
      </c>
      <c r="P681" s="9">
        <v>30.0</v>
      </c>
      <c r="Q681" s="11" t="str">
        <f t="shared" si="9"/>
        <v>cobertura correcta</v>
      </c>
      <c r="R681" s="12"/>
      <c r="S681" s="8"/>
      <c r="T681" s="12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5.75" customHeight="1">
      <c r="A682" s="5" t="s">
        <v>1322</v>
      </c>
      <c r="B682" s="6"/>
      <c r="C682" s="6">
        <f t="shared" si="1"/>
        <v>2479</v>
      </c>
      <c r="D682" s="6">
        <f t="shared" si="42"/>
        <v>24</v>
      </c>
      <c r="E682" s="7">
        <v>0.0</v>
      </c>
      <c r="F682" s="8"/>
      <c r="G682" s="6">
        <f t="shared" si="3"/>
        <v>3750</v>
      </c>
      <c r="H682" s="6">
        <f t="shared" si="4"/>
        <v>9672</v>
      </c>
      <c r="I682" s="6">
        <f t="shared" si="5"/>
        <v>27454</v>
      </c>
      <c r="J682" s="6">
        <f t="shared" si="6"/>
        <v>29628</v>
      </c>
      <c r="K682" s="9"/>
      <c r="L682" s="9"/>
      <c r="M682" s="9"/>
      <c r="N682" s="9">
        <f t="shared" si="7"/>
        <v>11.95159338</v>
      </c>
      <c r="O682" s="10">
        <f t="shared" si="8"/>
        <v>19.832</v>
      </c>
      <c r="P682" s="9">
        <v>30.0</v>
      </c>
      <c r="Q682" s="11" t="str">
        <f t="shared" si="9"/>
        <v>¡Compra YA!</v>
      </c>
      <c r="R682" s="12"/>
      <c r="S682" s="8"/>
      <c r="T682" s="12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5.75" customHeight="1">
      <c r="A683" s="5" t="s">
        <v>1323</v>
      </c>
      <c r="B683" s="6"/>
      <c r="C683" s="6">
        <f t="shared" si="1"/>
        <v>4783</v>
      </c>
      <c r="D683" s="6">
        <f t="shared" si="42"/>
        <v>26</v>
      </c>
      <c r="E683" s="7">
        <v>0.0</v>
      </c>
      <c r="F683" s="8"/>
      <c r="G683" s="6">
        <f t="shared" si="3"/>
        <v>5591</v>
      </c>
      <c r="H683" s="6">
        <f t="shared" si="4"/>
        <v>10825</v>
      </c>
      <c r="I683" s="6">
        <f t="shared" si="5"/>
        <v>22100</v>
      </c>
      <c r="J683" s="6">
        <f t="shared" si="6"/>
        <v>52649</v>
      </c>
      <c r="K683" s="9"/>
      <c r="L683" s="9"/>
      <c r="M683" s="9"/>
      <c r="N683" s="9">
        <f t="shared" si="7"/>
        <v>11.00752666</v>
      </c>
      <c r="O683" s="10">
        <f t="shared" si="8"/>
        <v>25.66446074</v>
      </c>
      <c r="P683" s="9">
        <v>30.0</v>
      </c>
      <c r="Q683" s="11" t="str">
        <f t="shared" si="9"/>
        <v>¡Compra YA!</v>
      </c>
      <c r="R683" s="12"/>
      <c r="S683" s="8"/>
      <c r="T683" s="12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5.75" customHeight="1">
      <c r="A684" s="5" t="s">
        <v>1324</v>
      </c>
      <c r="B684" s="6"/>
      <c r="C684" s="6">
        <f t="shared" si="1"/>
        <v>3270</v>
      </c>
      <c r="D684" s="7">
        <v>0.0</v>
      </c>
      <c r="E684" s="7">
        <v>0.0</v>
      </c>
      <c r="F684" s="8"/>
      <c r="G684" s="6">
        <f t="shared" si="3"/>
        <v>7946</v>
      </c>
      <c r="H684" s="6">
        <f t="shared" si="4"/>
        <v>16870</v>
      </c>
      <c r="I684" s="6">
        <f t="shared" si="5"/>
        <v>24390</v>
      </c>
      <c r="J684" s="6">
        <f t="shared" si="6"/>
        <v>72868</v>
      </c>
      <c r="K684" s="9"/>
      <c r="L684" s="9"/>
      <c r="M684" s="9"/>
      <c r="N684" s="9">
        <f t="shared" si="7"/>
        <v>22.28379205</v>
      </c>
      <c r="O684" s="10">
        <f t="shared" si="8"/>
        <v>12.34583438</v>
      </c>
      <c r="P684" s="9">
        <v>30.0</v>
      </c>
      <c r="Q684" s="11" t="str">
        <f t="shared" si="9"/>
        <v>¡Compra YA!</v>
      </c>
      <c r="R684" s="12"/>
      <c r="S684" s="8"/>
      <c r="T684" s="12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5.75" customHeight="1">
      <c r="A685" s="5" t="s">
        <v>1325</v>
      </c>
      <c r="B685" s="6"/>
      <c r="C685" s="6">
        <f t="shared" si="1"/>
        <v>4664</v>
      </c>
      <c r="D685" s="6">
        <f>RANDBETWEEN(0, 200)</f>
        <v>139</v>
      </c>
      <c r="E685" s="7">
        <v>0.0</v>
      </c>
      <c r="F685" s="8"/>
      <c r="G685" s="6">
        <f t="shared" si="3"/>
        <v>3227</v>
      </c>
      <c r="H685" s="6">
        <f t="shared" si="4"/>
        <v>10887</v>
      </c>
      <c r="I685" s="6">
        <f t="shared" si="5"/>
        <v>25501</v>
      </c>
      <c r="J685" s="6">
        <f t="shared" si="6"/>
        <v>97375</v>
      </c>
      <c r="K685" s="9"/>
      <c r="L685" s="9"/>
      <c r="M685" s="9"/>
      <c r="N685" s="9">
        <f t="shared" si="7"/>
        <v>20.87800172</v>
      </c>
      <c r="O685" s="10">
        <f t="shared" si="8"/>
        <v>43.35915711</v>
      </c>
      <c r="P685" s="9">
        <v>30.0</v>
      </c>
      <c r="Q685" s="11" t="str">
        <f t="shared" si="9"/>
        <v>cobertura correcta</v>
      </c>
      <c r="R685" s="12"/>
      <c r="S685" s="8"/>
      <c r="T685" s="12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5.75" customHeight="1">
      <c r="A686" s="5" t="s">
        <v>1326</v>
      </c>
      <c r="B686" s="6"/>
      <c r="C686" s="6">
        <f t="shared" si="1"/>
        <v>5430</v>
      </c>
      <c r="D686" s="7">
        <v>0.0</v>
      </c>
      <c r="E686" s="7">
        <v>0.0</v>
      </c>
      <c r="F686" s="8"/>
      <c r="G686" s="6">
        <f t="shared" si="3"/>
        <v>4188</v>
      </c>
      <c r="H686" s="6">
        <f t="shared" si="4"/>
        <v>15575</v>
      </c>
      <c r="I686" s="6">
        <f t="shared" si="5"/>
        <v>26453</v>
      </c>
      <c r="J686" s="6">
        <f t="shared" si="6"/>
        <v>89512</v>
      </c>
      <c r="K686" s="9"/>
      <c r="L686" s="9"/>
      <c r="M686" s="9"/>
      <c r="N686" s="9">
        <f t="shared" si="7"/>
        <v>16.48471455</v>
      </c>
      <c r="O686" s="10">
        <f t="shared" si="8"/>
        <v>38.89684814</v>
      </c>
      <c r="P686" s="9">
        <v>30.0</v>
      </c>
      <c r="Q686" s="11" t="str">
        <f t="shared" si="9"/>
        <v>cobertura correcta</v>
      </c>
      <c r="R686" s="12"/>
      <c r="S686" s="8"/>
      <c r="T686" s="12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5.75" customHeight="1">
      <c r="A687" s="5" t="s">
        <v>1327</v>
      </c>
      <c r="B687" s="6"/>
      <c r="C687" s="6">
        <f t="shared" si="1"/>
        <v>8125</v>
      </c>
      <c r="D687" s="6">
        <f>RANDBETWEEN(0, 200)</f>
        <v>12</v>
      </c>
      <c r="E687" s="7">
        <v>0.0</v>
      </c>
      <c r="F687" s="8"/>
      <c r="G687" s="6">
        <f t="shared" si="3"/>
        <v>4485</v>
      </c>
      <c r="H687" s="6">
        <f t="shared" si="4"/>
        <v>17292</v>
      </c>
      <c r="I687" s="6">
        <f t="shared" si="5"/>
        <v>24230</v>
      </c>
      <c r="J687" s="6">
        <f t="shared" si="6"/>
        <v>89132</v>
      </c>
      <c r="K687" s="9"/>
      <c r="L687" s="9"/>
      <c r="M687" s="9"/>
      <c r="N687" s="9">
        <f t="shared" si="7"/>
        <v>10.97009231</v>
      </c>
      <c r="O687" s="10">
        <f t="shared" si="8"/>
        <v>54.34782609</v>
      </c>
      <c r="P687" s="9">
        <v>30.0</v>
      </c>
      <c r="Q687" s="11" t="str">
        <f t="shared" si="9"/>
        <v>cobertura correcta</v>
      </c>
      <c r="R687" s="12"/>
      <c r="S687" s="8"/>
      <c r="T687" s="12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5.75" customHeight="1">
      <c r="A688" s="5" t="s">
        <v>1328</v>
      </c>
      <c r="B688" s="6"/>
      <c r="C688" s="6">
        <f t="shared" si="1"/>
        <v>3900</v>
      </c>
      <c r="D688" s="7">
        <v>0.0</v>
      </c>
      <c r="E688" s="7">
        <v>0.0</v>
      </c>
      <c r="F688" s="8"/>
      <c r="G688" s="6">
        <f t="shared" si="3"/>
        <v>2477</v>
      </c>
      <c r="H688" s="6">
        <f t="shared" si="4"/>
        <v>13815</v>
      </c>
      <c r="I688" s="6">
        <f t="shared" si="5"/>
        <v>20225</v>
      </c>
      <c r="J688" s="6">
        <f t="shared" si="6"/>
        <v>93144</v>
      </c>
      <c r="K688" s="9"/>
      <c r="L688" s="9"/>
      <c r="M688" s="9"/>
      <c r="N688" s="9">
        <f t="shared" si="7"/>
        <v>23.88307692</v>
      </c>
      <c r="O688" s="10">
        <f t="shared" si="8"/>
        <v>47.23455793</v>
      </c>
      <c r="P688" s="9">
        <v>30.0</v>
      </c>
      <c r="Q688" s="11" t="str">
        <f t="shared" si="9"/>
        <v>cobertura correcta</v>
      </c>
      <c r="R688" s="12"/>
      <c r="S688" s="8"/>
      <c r="T688" s="12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5.75" customHeight="1">
      <c r="A689" s="5" t="s">
        <v>1329</v>
      </c>
      <c r="B689" s="6"/>
      <c r="C689" s="6">
        <f t="shared" si="1"/>
        <v>2627</v>
      </c>
      <c r="D689" s="6">
        <f>RANDBETWEEN(0, 200)</f>
        <v>39</v>
      </c>
      <c r="E689" s="7">
        <v>0.0</v>
      </c>
      <c r="F689" s="8"/>
      <c r="G689" s="6">
        <f t="shared" si="3"/>
        <v>5940</v>
      </c>
      <c r="H689" s="6">
        <f t="shared" si="4"/>
        <v>15267</v>
      </c>
      <c r="I689" s="6">
        <f t="shared" si="5"/>
        <v>27873</v>
      </c>
      <c r="J689" s="6">
        <f t="shared" si="6"/>
        <v>82005</v>
      </c>
      <c r="K689" s="9"/>
      <c r="L689" s="9"/>
      <c r="M689" s="9"/>
      <c r="N689" s="9">
        <f t="shared" si="7"/>
        <v>31.21621622</v>
      </c>
      <c r="O689" s="10">
        <f t="shared" si="8"/>
        <v>13.26767677</v>
      </c>
      <c r="P689" s="9">
        <v>30.0</v>
      </c>
      <c r="Q689" s="11" t="str">
        <f t="shared" si="9"/>
        <v>¡Compra YA!</v>
      </c>
      <c r="R689" s="12"/>
      <c r="S689" s="8"/>
      <c r="T689" s="12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5.75" customHeight="1">
      <c r="A690" s="5" t="s">
        <v>1330</v>
      </c>
      <c r="B690" s="6"/>
      <c r="C690" s="6">
        <f t="shared" si="1"/>
        <v>1499</v>
      </c>
      <c r="D690" s="7">
        <v>0.0</v>
      </c>
      <c r="E690" s="7">
        <v>0.0</v>
      </c>
      <c r="F690" s="8"/>
      <c r="G690" s="6">
        <f t="shared" si="3"/>
        <v>8600</v>
      </c>
      <c r="H690" s="6">
        <f t="shared" si="4"/>
        <v>15213</v>
      </c>
      <c r="I690" s="6">
        <f t="shared" si="5"/>
        <v>22760</v>
      </c>
      <c r="J690" s="6">
        <f t="shared" si="6"/>
        <v>51602</v>
      </c>
      <c r="K690" s="9"/>
      <c r="L690" s="9"/>
      <c r="M690" s="9"/>
      <c r="N690" s="9">
        <f t="shared" si="7"/>
        <v>34.42428286</v>
      </c>
      <c r="O690" s="10">
        <f t="shared" si="8"/>
        <v>5.229069767</v>
      </c>
      <c r="P690" s="9">
        <v>30.0</v>
      </c>
      <c r="Q690" s="11" t="str">
        <f t="shared" si="9"/>
        <v>¡Compra YA!</v>
      </c>
      <c r="R690" s="12"/>
      <c r="S690" s="8"/>
      <c r="T690" s="12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5.75" customHeight="1">
      <c r="A691" s="5" t="s">
        <v>1331</v>
      </c>
      <c r="B691" s="6"/>
      <c r="C691" s="6">
        <f t="shared" si="1"/>
        <v>5475</v>
      </c>
      <c r="D691" s="6">
        <f t="shared" ref="D691:D692" si="43">RANDBETWEEN(0, 200)</f>
        <v>119</v>
      </c>
      <c r="E691" s="7">
        <v>0.0</v>
      </c>
      <c r="F691" s="8"/>
      <c r="G691" s="6">
        <f t="shared" si="3"/>
        <v>6815</v>
      </c>
      <c r="H691" s="6">
        <f t="shared" si="4"/>
        <v>16390</v>
      </c>
      <c r="I691" s="6">
        <f t="shared" si="5"/>
        <v>20508</v>
      </c>
      <c r="J691" s="6">
        <f t="shared" si="6"/>
        <v>86906</v>
      </c>
      <c r="K691" s="9"/>
      <c r="L691" s="9"/>
      <c r="M691" s="9"/>
      <c r="N691" s="9">
        <f t="shared" si="7"/>
        <v>15.87324201</v>
      </c>
      <c r="O691" s="10">
        <f t="shared" si="8"/>
        <v>24.10124725</v>
      </c>
      <c r="P691" s="9">
        <v>30.0</v>
      </c>
      <c r="Q691" s="11" t="str">
        <f t="shared" si="9"/>
        <v>¡Compra YA!</v>
      </c>
      <c r="R691" s="12"/>
      <c r="S691" s="8"/>
      <c r="T691" s="12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5.75" customHeight="1">
      <c r="A692" s="5" t="s">
        <v>1332</v>
      </c>
      <c r="B692" s="6" t="s">
        <v>1333</v>
      </c>
      <c r="C692" s="6">
        <f t="shared" si="1"/>
        <v>8276</v>
      </c>
      <c r="D692" s="6">
        <f t="shared" si="43"/>
        <v>30</v>
      </c>
      <c r="E692" s="7">
        <v>0.0</v>
      </c>
      <c r="F692" s="8"/>
      <c r="G692" s="6">
        <f t="shared" si="3"/>
        <v>7297</v>
      </c>
      <c r="H692" s="6">
        <f t="shared" si="4"/>
        <v>18335</v>
      </c>
      <c r="I692" s="6">
        <f t="shared" si="5"/>
        <v>24753</v>
      </c>
      <c r="J692" s="6">
        <f t="shared" si="6"/>
        <v>40353</v>
      </c>
      <c r="K692" s="9"/>
      <c r="L692" s="9"/>
      <c r="M692" s="9"/>
      <c r="N692" s="9">
        <f t="shared" si="7"/>
        <v>4.875906235</v>
      </c>
      <c r="O692" s="10">
        <f t="shared" si="8"/>
        <v>34.02494176</v>
      </c>
      <c r="P692" s="9">
        <v>20.0</v>
      </c>
      <c r="Q692" s="11" t="str">
        <f t="shared" si="9"/>
        <v>cobertura correcta</v>
      </c>
      <c r="R692" s="12"/>
      <c r="S692" s="8"/>
      <c r="T692" s="12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5.75" customHeight="1">
      <c r="A693" s="5" t="s">
        <v>1334</v>
      </c>
      <c r="B693" s="6" t="s">
        <v>1335</v>
      </c>
      <c r="C693" s="6">
        <f t="shared" si="1"/>
        <v>5553</v>
      </c>
      <c r="D693" s="7">
        <v>0.0</v>
      </c>
      <c r="E693" s="7">
        <v>0.0</v>
      </c>
      <c r="F693" s="8"/>
      <c r="G693" s="6">
        <f t="shared" si="3"/>
        <v>6519</v>
      </c>
      <c r="H693" s="6">
        <f t="shared" si="4"/>
        <v>15597</v>
      </c>
      <c r="I693" s="6">
        <f t="shared" si="5"/>
        <v>25814</v>
      </c>
      <c r="J693" s="6">
        <f t="shared" si="6"/>
        <v>88097</v>
      </c>
      <c r="K693" s="9"/>
      <c r="L693" s="9"/>
      <c r="M693" s="9"/>
      <c r="N693" s="9">
        <f t="shared" si="7"/>
        <v>15.86475779</v>
      </c>
      <c r="O693" s="10">
        <f t="shared" si="8"/>
        <v>25.5545329</v>
      </c>
      <c r="P693" s="9">
        <v>20.0</v>
      </c>
      <c r="Q693" s="11" t="str">
        <f t="shared" si="9"/>
        <v>cobertura correcta</v>
      </c>
      <c r="R693" s="12"/>
      <c r="S693" s="8"/>
      <c r="T693" s="12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5.75" customHeight="1">
      <c r="A694" s="5" t="s">
        <v>1336</v>
      </c>
      <c r="B694" s="6" t="s">
        <v>1337</v>
      </c>
      <c r="C694" s="6">
        <f t="shared" si="1"/>
        <v>5948</v>
      </c>
      <c r="D694" s="6">
        <f t="shared" ref="D694:D695" si="44">RANDBETWEEN(0, 200)</f>
        <v>9</v>
      </c>
      <c r="E694" s="7">
        <v>0.0</v>
      </c>
      <c r="F694" s="8"/>
      <c r="G694" s="6">
        <f t="shared" si="3"/>
        <v>8180</v>
      </c>
      <c r="H694" s="6">
        <f t="shared" si="4"/>
        <v>18726</v>
      </c>
      <c r="I694" s="6">
        <f t="shared" si="5"/>
        <v>21419</v>
      </c>
      <c r="J694" s="6">
        <f t="shared" si="6"/>
        <v>66507</v>
      </c>
      <c r="K694" s="9"/>
      <c r="L694" s="9"/>
      <c r="M694" s="9"/>
      <c r="N694" s="9">
        <f t="shared" si="7"/>
        <v>11.18140551</v>
      </c>
      <c r="O694" s="10">
        <f t="shared" si="8"/>
        <v>21.81418093</v>
      </c>
      <c r="P694" s="9">
        <v>20.0</v>
      </c>
      <c r="Q694" s="11" t="str">
        <f t="shared" si="9"/>
        <v>cobertura correcta</v>
      </c>
      <c r="R694" s="12"/>
      <c r="S694" s="8"/>
      <c r="T694" s="12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5.75" customHeight="1">
      <c r="A695" s="5" t="s">
        <v>1338</v>
      </c>
      <c r="B695" s="6" t="s">
        <v>1339</v>
      </c>
      <c r="C695" s="6">
        <f t="shared" si="1"/>
        <v>7787</v>
      </c>
      <c r="D695" s="6">
        <f t="shared" si="44"/>
        <v>195</v>
      </c>
      <c r="E695" s="7">
        <v>0.0</v>
      </c>
      <c r="F695" s="8"/>
      <c r="G695" s="6">
        <f t="shared" si="3"/>
        <v>7517</v>
      </c>
      <c r="H695" s="6">
        <f t="shared" si="4"/>
        <v>17652</v>
      </c>
      <c r="I695" s="6">
        <f t="shared" si="5"/>
        <v>23617</v>
      </c>
      <c r="J695" s="6">
        <f t="shared" si="6"/>
        <v>70735</v>
      </c>
      <c r="K695" s="9"/>
      <c r="L695" s="9"/>
      <c r="M695" s="9"/>
      <c r="N695" s="9">
        <f t="shared" si="7"/>
        <v>9.083729292</v>
      </c>
      <c r="O695" s="10">
        <f t="shared" si="8"/>
        <v>31.07755754</v>
      </c>
      <c r="P695" s="9">
        <v>20.0</v>
      </c>
      <c r="Q695" s="11" t="str">
        <f t="shared" si="9"/>
        <v>cobertura correcta</v>
      </c>
      <c r="R695" s="12"/>
      <c r="S695" s="8"/>
      <c r="T695" s="12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5.75" customHeight="1">
      <c r="A696" s="5" t="s">
        <v>1340</v>
      </c>
      <c r="B696" s="6" t="s">
        <v>1341</v>
      </c>
      <c r="C696" s="6">
        <f t="shared" si="1"/>
        <v>6383</v>
      </c>
      <c r="D696" s="7">
        <v>0.0</v>
      </c>
      <c r="E696" s="7">
        <v>0.0</v>
      </c>
      <c r="F696" s="8"/>
      <c r="G696" s="6">
        <f t="shared" si="3"/>
        <v>3030</v>
      </c>
      <c r="H696" s="6">
        <f t="shared" si="4"/>
        <v>13485</v>
      </c>
      <c r="I696" s="6">
        <f t="shared" si="5"/>
        <v>21355</v>
      </c>
      <c r="J696" s="6">
        <f t="shared" si="6"/>
        <v>45761</v>
      </c>
      <c r="K696" s="9"/>
      <c r="L696" s="9"/>
      <c r="M696" s="9"/>
      <c r="N696" s="9">
        <f t="shared" si="7"/>
        <v>7.169199436</v>
      </c>
      <c r="O696" s="10">
        <f t="shared" si="8"/>
        <v>63.1980198</v>
      </c>
      <c r="P696" s="9">
        <v>20.0</v>
      </c>
      <c r="Q696" s="11" t="str">
        <f t="shared" si="9"/>
        <v>cobertura correcta</v>
      </c>
      <c r="R696" s="12"/>
      <c r="S696" s="8"/>
      <c r="T696" s="12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5.75" customHeight="1">
      <c r="A697" s="5" t="s">
        <v>1342</v>
      </c>
      <c r="B697" s="6" t="s">
        <v>1343</v>
      </c>
      <c r="C697" s="6">
        <f t="shared" si="1"/>
        <v>6931</v>
      </c>
      <c r="D697" s="6">
        <f t="shared" ref="D697:D700" si="45">RANDBETWEEN(0, 200)</f>
        <v>18</v>
      </c>
      <c r="E697" s="7">
        <v>0.0</v>
      </c>
      <c r="F697" s="8"/>
      <c r="G697" s="6">
        <f t="shared" si="3"/>
        <v>6628</v>
      </c>
      <c r="H697" s="6">
        <f t="shared" si="4"/>
        <v>16046</v>
      </c>
      <c r="I697" s="6">
        <f t="shared" si="5"/>
        <v>24767</v>
      </c>
      <c r="J697" s="6">
        <f t="shared" si="6"/>
        <v>63862</v>
      </c>
      <c r="K697" s="9"/>
      <c r="L697" s="9"/>
      <c r="M697" s="9"/>
      <c r="N697" s="9">
        <f t="shared" si="7"/>
        <v>9.213966239</v>
      </c>
      <c r="O697" s="10">
        <f t="shared" si="8"/>
        <v>31.37145444</v>
      </c>
      <c r="P697" s="9">
        <v>20.0</v>
      </c>
      <c r="Q697" s="11" t="str">
        <f t="shared" si="9"/>
        <v>cobertura correcta</v>
      </c>
      <c r="R697" s="12"/>
      <c r="S697" s="8"/>
      <c r="T697" s="12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5.75" customHeight="1">
      <c r="A698" s="5" t="s">
        <v>1344</v>
      </c>
      <c r="B698" s="6" t="s">
        <v>1345</v>
      </c>
      <c r="C698" s="6">
        <f t="shared" si="1"/>
        <v>8215</v>
      </c>
      <c r="D698" s="6">
        <f t="shared" si="45"/>
        <v>158</v>
      </c>
      <c r="E698" s="7">
        <v>0.0</v>
      </c>
      <c r="F698" s="8"/>
      <c r="G698" s="6">
        <f t="shared" si="3"/>
        <v>1581</v>
      </c>
      <c r="H698" s="6">
        <f t="shared" si="4"/>
        <v>18075</v>
      </c>
      <c r="I698" s="6">
        <f t="shared" si="5"/>
        <v>28909</v>
      </c>
      <c r="J698" s="6">
        <f t="shared" si="6"/>
        <v>63922</v>
      </c>
      <c r="K698" s="9"/>
      <c r="L698" s="9"/>
      <c r="M698" s="9"/>
      <c r="N698" s="9">
        <f t="shared" si="7"/>
        <v>7.781132075</v>
      </c>
      <c r="O698" s="10">
        <f t="shared" si="8"/>
        <v>155.8823529</v>
      </c>
      <c r="P698" s="9">
        <v>20.0</v>
      </c>
      <c r="Q698" s="11" t="str">
        <f t="shared" si="9"/>
        <v>cobertura correcta</v>
      </c>
      <c r="R698" s="12"/>
      <c r="S698" s="8"/>
      <c r="T698" s="12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5.75" customHeight="1">
      <c r="A699" s="5" t="s">
        <v>1346</v>
      </c>
      <c r="B699" s="6"/>
      <c r="C699" s="6">
        <f t="shared" si="1"/>
        <v>5421</v>
      </c>
      <c r="D699" s="6">
        <f t="shared" si="45"/>
        <v>135</v>
      </c>
      <c r="E699" s="7">
        <v>0.0</v>
      </c>
      <c r="F699" s="8"/>
      <c r="G699" s="6">
        <f t="shared" si="3"/>
        <v>4552</v>
      </c>
      <c r="H699" s="6">
        <f t="shared" si="4"/>
        <v>13829</v>
      </c>
      <c r="I699" s="6">
        <f t="shared" si="5"/>
        <v>21878</v>
      </c>
      <c r="J699" s="6">
        <f t="shared" si="6"/>
        <v>30874</v>
      </c>
      <c r="K699" s="9"/>
      <c r="L699" s="9"/>
      <c r="M699" s="9"/>
      <c r="N699" s="9">
        <f t="shared" si="7"/>
        <v>5.695259177</v>
      </c>
      <c r="O699" s="10">
        <f t="shared" si="8"/>
        <v>35.7271529</v>
      </c>
      <c r="P699" s="9">
        <v>20.0</v>
      </c>
      <c r="Q699" s="11" t="str">
        <f t="shared" si="9"/>
        <v>cobertura correcta</v>
      </c>
      <c r="R699" s="12"/>
      <c r="S699" s="8"/>
      <c r="T699" s="12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5.75" customHeight="1">
      <c r="A700" s="5" t="s">
        <v>1347</v>
      </c>
      <c r="B700" s="6" t="s">
        <v>1348</v>
      </c>
      <c r="C700" s="6">
        <f t="shared" si="1"/>
        <v>3821</v>
      </c>
      <c r="D700" s="6">
        <f t="shared" si="45"/>
        <v>76</v>
      </c>
      <c r="E700" s="7">
        <v>0.0</v>
      </c>
      <c r="F700" s="8"/>
      <c r="G700" s="6">
        <f t="shared" si="3"/>
        <v>5216</v>
      </c>
      <c r="H700" s="6">
        <f t="shared" si="4"/>
        <v>15757</v>
      </c>
      <c r="I700" s="6">
        <f t="shared" si="5"/>
        <v>25747</v>
      </c>
      <c r="J700" s="6">
        <f t="shared" si="6"/>
        <v>98546</v>
      </c>
      <c r="K700" s="9"/>
      <c r="L700" s="9"/>
      <c r="M700" s="9"/>
      <c r="N700" s="9">
        <f t="shared" si="7"/>
        <v>25.79063072</v>
      </c>
      <c r="O700" s="10">
        <f t="shared" si="8"/>
        <v>21.97661043</v>
      </c>
      <c r="P700" s="9">
        <v>20.0</v>
      </c>
      <c r="Q700" s="11" t="str">
        <f t="shared" si="9"/>
        <v>cobertura correcta</v>
      </c>
      <c r="R700" s="12"/>
      <c r="S700" s="8"/>
      <c r="T700" s="12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5.75" customHeight="1">
      <c r="A701" s="5" t="s">
        <v>1349</v>
      </c>
      <c r="B701" s="6" t="s">
        <v>1350</v>
      </c>
      <c r="C701" s="6">
        <f t="shared" si="1"/>
        <v>2134</v>
      </c>
      <c r="D701" s="7">
        <v>0.0</v>
      </c>
      <c r="E701" s="7">
        <v>0.0</v>
      </c>
      <c r="F701" s="8"/>
      <c r="G701" s="6">
        <f t="shared" si="3"/>
        <v>6439</v>
      </c>
      <c r="H701" s="6">
        <f t="shared" si="4"/>
        <v>12891</v>
      </c>
      <c r="I701" s="6">
        <f t="shared" si="5"/>
        <v>28187</v>
      </c>
      <c r="J701" s="6">
        <f t="shared" si="6"/>
        <v>88061</v>
      </c>
      <c r="K701" s="9"/>
      <c r="L701" s="9"/>
      <c r="M701" s="9"/>
      <c r="N701" s="9">
        <f t="shared" si="7"/>
        <v>41.26569822</v>
      </c>
      <c r="O701" s="10">
        <f t="shared" si="8"/>
        <v>9.942537661</v>
      </c>
      <c r="P701" s="9">
        <v>20.0</v>
      </c>
      <c r="Q701" s="11" t="str">
        <f t="shared" si="9"/>
        <v>¡Compra YA!</v>
      </c>
      <c r="R701" s="12"/>
      <c r="S701" s="8"/>
      <c r="T701" s="12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5.75" customHeight="1">
      <c r="A702" s="5" t="s">
        <v>1351</v>
      </c>
      <c r="B702" s="6"/>
      <c r="C702" s="6">
        <f t="shared" si="1"/>
        <v>8835</v>
      </c>
      <c r="D702" s="6">
        <f>RANDBETWEEN(0, 200)</f>
        <v>15</v>
      </c>
      <c r="E702" s="7">
        <v>0.0</v>
      </c>
      <c r="F702" s="8"/>
      <c r="G702" s="6">
        <f t="shared" si="3"/>
        <v>5846</v>
      </c>
      <c r="H702" s="6">
        <f t="shared" si="4"/>
        <v>13368</v>
      </c>
      <c r="I702" s="6">
        <f t="shared" si="5"/>
        <v>21958</v>
      </c>
      <c r="J702" s="6">
        <f t="shared" si="6"/>
        <v>38453</v>
      </c>
      <c r="K702" s="9"/>
      <c r="L702" s="9"/>
      <c r="M702" s="9"/>
      <c r="N702" s="9">
        <f t="shared" si="7"/>
        <v>4.352348613</v>
      </c>
      <c r="O702" s="10">
        <f t="shared" si="8"/>
        <v>45.33869312</v>
      </c>
      <c r="P702" s="9">
        <v>7.0</v>
      </c>
      <c r="Q702" s="11" t="str">
        <f t="shared" si="9"/>
        <v>cobertura correcta</v>
      </c>
      <c r="R702" s="12"/>
      <c r="S702" s="8"/>
      <c r="T702" s="12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5.75" customHeight="1">
      <c r="A703" s="5" t="s">
        <v>1352</v>
      </c>
      <c r="B703" s="6" t="s">
        <v>1353</v>
      </c>
      <c r="C703" s="6">
        <f t="shared" si="1"/>
        <v>5995</v>
      </c>
      <c r="D703" s="7">
        <v>0.0</v>
      </c>
      <c r="E703" s="7">
        <v>0.0</v>
      </c>
      <c r="F703" s="8"/>
      <c r="G703" s="6">
        <f t="shared" si="3"/>
        <v>8766</v>
      </c>
      <c r="H703" s="6">
        <f t="shared" si="4"/>
        <v>10024</v>
      </c>
      <c r="I703" s="6">
        <f t="shared" si="5"/>
        <v>28041</v>
      </c>
      <c r="J703" s="6">
        <f t="shared" si="6"/>
        <v>56669</v>
      </c>
      <c r="K703" s="9"/>
      <c r="L703" s="9"/>
      <c r="M703" s="9"/>
      <c r="N703" s="9">
        <f t="shared" si="7"/>
        <v>9.452710592</v>
      </c>
      <c r="O703" s="10">
        <f t="shared" si="8"/>
        <v>20.51676934</v>
      </c>
      <c r="P703" s="9">
        <v>7.0</v>
      </c>
      <c r="Q703" s="11" t="str">
        <f t="shared" si="9"/>
        <v>cobertura correcta</v>
      </c>
      <c r="R703" s="12"/>
      <c r="S703" s="8"/>
      <c r="T703" s="12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5.75" customHeight="1">
      <c r="A704" s="5" t="s">
        <v>1354</v>
      </c>
      <c r="B704" s="6" t="s">
        <v>1355</v>
      </c>
      <c r="C704" s="6">
        <f t="shared" si="1"/>
        <v>7826</v>
      </c>
      <c r="D704" s="6">
        <f>RANDBETWEEN(0, 200)</f>
        <v>116</v>
      </c>
      <c r="E704" s="7">
        <v>0.0</v>
      </c>
      <c r="F704" s="8"/>
      <c r="G704" s="6">
        <f t="shared" si="3"/>
        <v>3548</v>
      </c>
      <c r="H704" s="6">
        <f t="shared" si="4"/>
        <v>17834</v>
      </c>
      <c r="I704" s="6">
        <f t="shared" si="5"/>
        <v>25078</v>
      </c>
      <c r="J704" s="6">
        <f t="shared" si="6"/>
        <v>53407</v>
      </c>
      <c r="K704" s="9"/>
      <c r="L704" s="9"/>
      <c r="M704" s="9"/>
      <c r="N704" s="9">
        <f t="shared" si="7"/>
        <v>6.824303603</v>
      </c>
      <c r="O704" s="10">
        <f t="shared" si="8"/>
        <v>66.17249154</v>
      </c>
      <c r="P704" s="9">
        <v>7.0</v>
      </c>
      <c r="Q704" s="11" t="str">
        <f t="shared" si="9"/>
        <v>cobertura correcta</v>
      </c>
      <c r="R704" s="12"/>
      <c r="S704" s="8"/>
      <c r="T704" s="12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5.75" customHeight="1">
      <c r="A705" s="5" t="s">
        <v>1356</v>
      </c>
      <c r="B705" s="6" t="s">
        <v>1357</v>
      </c>
      <c r="C705" s="6">
        <f t="shared" si="1"/>
        <v>1188</v>
      </c>
      <c r="D705" s="7">
        <v>0.0</v>
      </c>
      <c r="E705" s="7">
        <v>0.0</v>
      </c>
      <c r="F705" s="8"/>
      <c r="G705" s="6">
        <f t="shared" si="3"/>
        <v>3252</v>
      </c>
      <c r="H705" s="6">
        <f t="shared" si="4"/>
        <v>13331</v>
      </c>
      <c r="I705" s="6">
        <f t="shared" si="5"/>
        <v>24102</v>
      </c>
      <c r="J705" s="6">
        <f t="shared" si="6"/>
        <v>29795</v>
      </c>
      <c r="K705" s="9"/>
      <c r="L705" s="9"/>
      <c r="M705" s="9"/>
      <c r="N705" s="9">
        <f t="shared" si="7"/>
        <v>25.07996633</v>
      </c>
      <c r="O705" s="10">
        <f t="shared" si="8"/>
        <v>10.95940959</v>
      </c>
      <c r="P705" s="9">
        <v>7.0</v>
      </c>
      <c r="Q705" s="11" t="str">
        <f t="shared" si="9"/>
        <v>cobertura correcta</v>
      </c>
      <c r="R705" s="12"/>
      <c r="S705" s="8"/>
      <c r="T705" s="12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5.75" customHeight="1">
      <c r="A706" s="5" t="s">
        <v>1358</v>
      </c>
      <c r="B706" s="6" t="s">
        <v>1359</v>
      </c>
      <c r="C706" s="6">
        <f t="shared" si="1"/>
        <v>3247</v>
      </c>
      <c r="D706" s="6">
        <f t="shared" ref="D706:D801" si="46">RANDBETWEEN(0, 200)</f>
        <v>13</v>
      </c>
      <c r="E706" s="7">
        <v>0.0</v>
      </c>
      <c r="F706" s="8"/>
      <c r="G706" s="6">
        <f t="shared" si="3"/>
        <v>4074</v>
      </c>
      <c r="H706" s="6">
        <f t="shared" si="4"/>
        <v>16647</v>
      </c>
      <c r="I706" s="6">
        <f t="shared" si="5"/>
        <v>28111</v>
      </c>
      <c r="J706" s="6">
        <f t="shared" si="6"/>
        <v>55172</v>
      </c>
      <c r="K706" s="9"/>
      <c r="L706" s="9"/>
      <c r="M706" s="9"/>
      <c r="N706" s="9">
        <f t="shared" si="7"/>
        <v>16.99168463</v>
      </c>
      <c r="O706" s="10">
        <f t="shared" si="8"/>
        <v>23.910162</v>
      </c>
      <c r="P706" s="9">
        <v>7.0</v>
      </c>
      <c r="Q706" s="11" t="str">
        <f t="shared" si="9"/>
        <v>cobertura correcta</v>
      </c>
      <c r="R706" s="12"/>
      <c r="S706" s="8"/>
      <c r="T706" s="12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5" t="s">
        <v>1360</v>
      </c>
      <c r="B707" s="6" t="s">
        <v>1361</v>
      </c>
      <c r="C707" s="6">
        <f t="shared" si="1"/>
        <v>1733</v>
      </c>
      <c r="D707" s="6">
        <f t="shared" si="46"/>
        <v>74</v>
      </c>
      <c r="E707" s="7">
        <v>0.0</v>
      </c>
      <c r="F707" s="8"/>
      <c r="G707" s="6">
        <f t="shared" si="3"/>
        <v>3381</v>
      </c>
      <c r="H707" s="6">
        <f t="shared" si="4"/>
        <v>16989</v>
      </c>
      <c r="I707" s="6">
        <f t="shared" si="5"/>
        <v>24679</v>
      </c>
      <c r="J707" s="6">
        <f t="shared" si="6"/>
        <v>73567</v>
      </c>
      <c r="K707" s="9"/>
      <c r="L707" s="9"/>
      <c r="M707" s="9"/>
      <c r="N707" s="9">
        <f t="shared" si="7"/>
        <v>42.45066359</v>
      </c>
      <c r="O707" s="10">
        <f t="shared" si="8"/>
        <v>15.37710736</v>
      </c>
      <c r="P707" s="9">
        <v>7.0</v>
      </c>
      <c r="Q707" s="11" t="str">
        <f t="shared" si="9"/>
        <v>cobertura correcta</v>
      </c>
      <c r="R707" s="12"/>
      <c r="S707" s="8"/>
      <c r="T707" s="12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5.75" customHeight="1">
      <c r="A708" s="5" t="s">
        <v>1362</v>
      </c>
      <c r="B708" s="6" t="s">
        <v>1363</v>
      </c>
      <c r="C708" s="6">
        <f t="shared" si="1"/>
        <v>4760</v>
      </c>
      <c r="D708" s="6">
        <f t="shared" si="46"/>
        <v>5</v>
      </c>
      <c r="E708" s="7">
        <v>0.0</v>
      </c>
      <c r="F708" s="8"/>
      <c r="G708" s="6">
        <f t="shared" si="3"/>
        <v>2565</v>
      </c>
      <c r="H708" s="6">
        <f t="shared" si="4"/>
        <v>11445</v>
      </c>
      <c r="I708" s="6">
        <f t="shared" si="5"/>
        <v>20334</v>
      </c>
      <c r="J708" s="6">
        <f t="shared" si="6"/>
        <v>92056</v>
      </c>
      <c r="K708" s="9"/>
      <c r="L708" s="9"/>
      <c r="M708" s="9"/>
      <c r="N708" s="9">
        <f t="shared" si="7"/>
        <v>19.3394958</v>
      </c>
      <c r="O708" s="10">
        <f t="shared" si="8"/>
        <v>55.67251462</v>
      </c>
      <c r="P708" s="9">
        <v>7.0</v>
      </c>
      <c r="Q708" s="11" t="str">
        <f t="shared" si="9"/>
        <v>cobertura correcta</v>
      </c>
      <c r="R708" s="12"/>
      <c r="S708" s="8"/>
      <c r="T708" s="12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5.75" customHeight="1">
      <c r="A709" s="5" t="s">
        <v>1364</v>
      </c>
      <c r="B709" s="6" t="s">
        <v>1365</v>
      </c>
      <c r="C709" s="6">
        <f t="shared" si="1"/>
        <v>6153</v>
      </c>
      <c r="D709" s="6">
        <f t="shared" si="46"/>
        <v>162</v>
      </c>
      <c r="E709" s="7">
        <v>0.0</v>
      </c>
      <c r="F709" s="8"/>
      <c r="G709" s="6">
        <f t="shared" si="3"/>
        <v>6200</v>
      </c>
      <c r="H709" s="6">
        <f t="shared" si="4"/>
        <v>11324</v>
      </c>
      <c r="I709" s="6">
        <f t="shared" si="5"/>
        <v>22578</v>
      </c>
      <c r="J709" s="6">
        <f t="shared" si="6"/>
        <v>38201</v>
      </c>
      <c r="K709" s="9"/>
      <c r="L709" s="9"/>
      <c r="M709" s="9"/>
      <c r="N709" s="9">
        <f t="shared" si="7"/>
        <v>6.208516171</v>
      </c>
      <c r="O709" s="10">
        <f t="shared" si="8"/>
        <v>29.77258065</v>
      </c>
      <c r="P709" s="9">
        <v>7.0</v>
      </c>
      <c r="Q709" s="11" t="str">
        <f t="shared" si="9"/>
        <v>cobertura correcta</v>
      </c>
      <c r="R709" s="12"/>
      <c r="S709" s="8"/>
      <c r="T709" s="12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5.75" customHeight="1">
      <c r="A710" s="5" t="s">
        <v>1366</v>
      </c>
      <c r="B710" s="6"/>
      <c r="C710" s="6">
        <f t="shared" si="1"/>
        <v>8553</v>
      </c>
      <c r="D710" s="6">
        <f t="shared" si="46"/>
        <v>144</v>
      </c>
      <c r="E710" s="7">
        <v>0.0</v>
      </c>
      <c r="F710" s="8"/>
      <c r="G710" s="6">
        <f t="shared" si="3"/>
        <v>6509</v>
      </c>
      <c r="H710" s="6">
        <f t="shared" si="4"/>
        <v>16482</v>
      </c>
      <c r="I710" s="6">
        <f t="shared" si="5"/>
        <v>20257</v>
      </c>
      <c r="J710" s="6">
        <f t="shared" si="6"/>
        <v>32349</v>
      </c>
      <c r="K710" s="9"/>
      <c r="L710" s="9"/>
      <c r="M710" s="9"/>
      <c r="N710" s="9">
        <f t="shared" si="7"/>
        <v>3.782181691</v>
      </c>
      <c r="O710" s="10">
        <f t="shared" si="8"/>
        <v>39.42080197</v>
      </c>
      <c r="P710" s="9">
        <v>7.0</v>
      </c>
      <c r="Q710" s="11" t="str">
        <f t="shared" si="9"/>
        <v>cobertura correcta</v>
      </c>
      <c r="R710" s="12"/>
      <c r="S710" s="8"/>
      <c r="T710" s="12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5.75" customHeight="1">
      <c r="A711" s="5" t="s">
        <v>1367</v>
      </c>
      <c r="B711" s="6"/>
      <c r="C711" s="6">
        <f t="shared" si="1"/>
        <v>7709</v>
      </c>
      <c r="D711" s="6">
        <f t="shared" si="46"/>
        <v>5</v>
      </c>
      <c r="E711" s="7">
        <v>0.0</v>
      </c>
      <c r="F711" s="8"/>
      <c r="G711" s="6">
        <f t="shared" si="3"/>
        <v>6931</v>
      </c>
      <c r="H711" s="6">
        <f t="shared" si="4"/>
        <v>15889</v>
      </c>
      <c r="I711" s="6">
        <f t="shared" si="5"/>
        <v>25006</v>
      </c>
      <c r="J711" s="6">
        <f t="shared" si="6"/>
        <v>85760</v>
      </c>
      <c r="K711" s="9"/>
      <c r="L711" s="9"/>
      <c r="M711" s="9"/>
      <c r="N711" s="9">
        <f t="shared" si="7"/>
        <v>11.12465949</v>
      </c>
      <c r="O711" s="10">
        <f t="shared" si="8"/>
        <v>33.36747944</v>
      </c>
      <c r="P711" s="9">
        <v>7.0</v>
      </c>
      <c r="Q711" s="11" t="str">
        <f t="shared" si="9"/>
        <v>cobertura correcta</v>
      </c>
      <c r="R711" s="12"/>
      <c r="S711" s="8"/>
      <c r="T711" s="12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5.75" customHeight="1">
      <c r="A712" s="5" t="s">
        <v>1368</v>
      </c>
      <c r="B712" s="6"/>
      <c r="C712" s="6">
        <f t="shared" si="1"/>
        <v>3111</v>
      </c>
      <c r="D712" s="6">
        <f t="shared" si="46"/>
        <v>173</v>
      </c>
      <c r="E712" s="7">
        <v>0.0</v>
      </c>
      <c r="F712" s="8"/>
      <c r="G712" s="6">
        <f t="shared" si="3"/>
        <v>8903</v>
      </c>
      <c r="H712" s="6">
        <f t="shared" si="4"/>
        <v>16295</v>
      </c>
      <c r="I712" s="6">
        <f t="shared" si="5"/>
        <v>20511</v>
      </c>
      <c r="J712" s="6">
        <f t="shared" si="6"/>
        <v>78788</v>
      </c>
      <c r="K712" s="9"/>
      <c r="L712" s="9"/>
      <c r="M712" s="9"/>
      <c r="N712" s="9">
        <f t="shared" si="7"/>
        <v>25.32561877</v>
      </c>
      <c r="O712" s="10">
        <f t="shared" si="8"/>
        <v>10.48298326</v>
      </c>
      <c r="P712" s="9">
        <v>7.0</v>
      </c>
      <c r="Q712" s="11" t="str">
        <f t="shared" si="9"/>
        <v>cobertura correcta</v>
      </c>
      <c r="R712" s="12"/>
      <c r="S712" s="8"/>
      <c r="T712" s="12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5.75" customHeight="1">
      <c r="A713" s="5" t="s">
        <v>1369</v>
      </c>
      <c r="B713" s="6"/>
      <c r="C713" s="6">
        <f t="shared" si="1"/>
        <v>1264</v>
      </c>
      <c r="D713" s="6">
        <f t="shared" si="46"/>
        <v>29</v>
      </c>
      <c r="E713" s="7">
        <v>0.0</v>
      </c>
      <c r="F713" s="8"/>
      <c r="G713" s="6">
        <f t="shared" si="3"/>
        <v>2821</v>
      </c>
      <c r="H713" s="6">
        <f t="shared" si="4"/>
        <v>17629</v>
      </c>
      <c r="I713" s="6">
        <f t="shared" si="5"/>
        <v>24188</v>
      </c>
      <c r="J713" s="6">
        <f t="shared" si="6"/>
        <v>64474</v>
      </c>
      <c r="K713" s="9"/>
      <c r="L713" s="9"/>
      <c r="M713" s="9"/>
      <c r="N713" s="9">
        <f t="shared" si="7"/>
        <v>51.00791139</v>
      </c>
      <c r="O713" s="10">
        <f t="shared" si="8"/>
        <v>13.44204183</v>
      </c>
      <c r="P713" s="9">
        <v>7.0</v>
      </c>
      <c r="Q713" s="11" t="str">
        <f t="shared" si="9"/>
        <v>cobertura correcta</v>
      </c>
      <c r="R713" s="12"/>
      <c r="S713" s="8"/>
      <c r="T713" s="12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5.75" customHeight="1">
      <c r="A714" s="5" t="s">
        <v>1370</v>
      </c>
      <c r="B714" s="6" t="s">
        <v>1371</v>
      </c>
      <c r="C714" s="6">
        <f t="shared" si="1"/>
        <v>4054</v>
      </c>
      <c r="D714" s="6">
        <f t="shared" si="46"/>
        <v>166</v>
      </c>
      <c r="E714" s="7">
        <v>0.0</v>
      </c>
      <c r="F714" s="8"/>
      <c r="G714" s="6">
        <f t="shared" si="3"/>
        <v>4939</v>
      </c>
      <c r="H714" s="6">
        <f t="shared" si="4"/>
        <v>18033</v>
      </c>
      <c r="I714" s="6">
        <f t="shared" si="5"/>
        <v>24030</v>
      </c>
      <c r="J714" s="6">
        <f t="shared" si="6"/>
        <v>95189</v>
      </c>
      <c r="K714" s="9"/>
      <c r="L714" s="9"/>
      <c r="M714" s="9"/>
      <c r="N714" s="9">
        <f t="shared" si="7"/>
        <v>23.4802664</v>
      </c>
      <c r="O714" s="10">
        <f t="shared" si="8"/>
        <v>24.6244179</v>
      </c>
      <c r="P714" s="9">
        <v>20.0</v>
      </c>
      <c r="Q714" s="11" t="str">
        <f t="shared" si="9"/>
        <v>cobertura correcta</v>
      </c>
      <c r="R714" s="12"/>
      <c r="S714" s="8"/>
      <c r="T714" s="12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5.75" customHeight="1">
      <c r="A715" s="5" t="s">
        <v>1372</v>
      </c>
      <c r="B715" s="6" t="s">
        <v>1373</v>
      </c>
      <c r="C715" s="6">
        <f t="shared" si="1"/>
        <v>5207</v>
      </c>
      <c r="D715" s="6">
        <f t="shared" si="46"/>
        <v>57</v>
      </c>
      <c r="E715" s="7">
        <v>0.0</v>
      </c>
      <c r="F715" s="8"/>
      <c r="G715" s="6">
        <f t="shared" si="3"/>
        <v>8224</v>
      </c>
      <c r="H715" s="6">
        <f t="shared" si="4"/>
        <v>13168</v>
      </c>
      <c r="I715" s="6">
        <f t="shared" si="5"/>
        <v>25317</v>
      </c>
      <c r="J715" s="6">
        <f t="shared" si="6"/>
        <v>87416</v>
      </c>
      <c r="K715" s="9"/>
      <c r="L715" s="9"/>
      <c r="M715" s="9"/>
      <c r="N715" s="9">
        <f t="shared" si="7"/>
        <v>16.78816977</v>
      </c>
      <c r="O715" s="10">
        <f t="shared" si="8"/>
        <v>18.99440661</v>
      </c>
      <c r="P715" s="9">
        <v>20.0</v>
      </c>
      <c r="Q715" s="11" t="str">
        <f t="shared" si="9"/>
        <v>¡Compra YA!</v>
      </c>
      <c r="R715" s="12"/>
      <c r="S715" s="8"/>
      <c r="T715" s="12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5.75" customHeight="1">
      <c r="A716" s="5" t="s">
        <v>1374</v>
      </c>
      <c r="B716" s="6" t="s">
        <v>1375</v>
      </c>
      <c r="C716" s="6">
        <f t="shared" si="1"/>
        <v>1438</v>
      </c>
      <c r="D716" s="6">
        <f t="shared" si="46"/>
        <v>2</v>
      </c>
      <c r="E716" s="7">
        <v>0.0</v>
      </c>
      <c r="F716" s="8"/>
      <c r="G716" s="6">
        <f t="shared" si="3"/>
        <v>7091</v>
      </c>
      <c r="H716" s="6">
        <f t="shared" si="4"/>
        <v>10643</v>
      </c>
      <c r="I716" s="6">
        <f t="shared" si="5"/>
        <v>28279</v>
      </c>
      <c r="J716" s="6">
        <f t="shared" si="6"/>
        <v>72244</v>
      </c>
      <c r="K716" s="9"/>
      <c r="L716" s="9"/>
      <c r="M716" s="9"/>
      <c r="N716" s="9">
        <f t="shared" si="7"/>
        <v>50.23922114</v>
      </c>
      <c r="O716" s="10">
        <f t="shared" si="8"/>
        <v>6.083768157</v>
      </c>
      <c r="P716" s="9">
        <v>20.0</v>
      </c>
      <c r="Q716" s="11" t="str">
        <f t="shared" si="9"/>
        <v>¡Compra YA!</v>
      </c>
      <c r="R716" s="12"/>
      <c r="S716" s="8"/>
      <c r="T716" s="12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5.75" customHeight="1">
      <c r="A717" s="5" t="s">
        <v>1376</v>
      </c>
      <c r="B717" s="6" t="s">
        <v>1377</v>
      </c>
      <c r="C717" s="6">
        <f t="shared" si="1"/>
        <v>4460</v>
      </c>
      <c r="D717" s="6">
        <f t="shared" si="46"/>
        <v>47</v>
      </c>
      <c r="E717" s="7">
        <v>0.0</v>
      </c>
      <c r="F717" s="8"/>
      <c r="G717" s="6">
        <f t="shared" si="3"/>
        <v>6708</v>
      </c>
      <c r="H717" s="6">
        <f t="shared" si="4"/>
        <v>12064</v>
      </c>
      <c r="I717" s="6">
        <f t="shared" si="5"/>
        <v>22807</v>
      </c>
      <c r="J717" s="6">
        <f t="shared" si="6"/>
        <v>73676</v>
      </c>
      <c r="K717" s="9"/>
      <c r="L717" s="9"/>
      <c r="M717" s="9"/>
      <c r="N717" s="9">
        <f t="shared" si="7"/>
        <v>16.51928251</v>
      </c>
      <c r="O717" s="10">
        <f t="shared" si="8"/>
        <v>19.94633274</v>
      </c>
      <c r="P717" s="9">
        <v>20.0</v>
      </c>
      <c r="Q717" s="11" t="str">
        <f t="shared" si="9"/>
        <v>¡Compra YA!</v>
      </c>
      <c r="R717" s="12"/>
      <c r="S717" s="8"/>
      <c r="T717" s="12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5.75" customHeight="1">
      <c r="A718" s="5" t="s">
        <v>1378</v>
      </c>
      <c r="B718" s="6" t="s">
        <v>1379</v>
      </c>
      <c r="C718" s="6">
        <f t="shared" si="1"/>
        <v>6467</v>
      </c>
      <c r="D718" s="6">
        <f t="shared" si="46"/>
        <v>77</v>
      </c>
      <c r="E718" s="7">
        <v>0.0</v>
      </c>
      <c r="F718" s="8"/>
      <c r="G718" s="6">
        <f t="shared" si="3"/>
        <v>8781</v>
      </c>
      <c r="H718" s="6">
        <f t="shared" si="4"/>
        <v>13589</v>
      </c>
      <c r="I718" s="6">
        <f t="shared" si="5"/>
        <v>25222</v>
      </c>
      <c r="J718" s="6">
        <f t="shared" si="6"/>
        <v>49297</v>
      </c>
      <c r="K718" s="9"/>
      <c r="L718" s="9"/>
      <c r="M718" s="9"/>
      <c r="N718" s="9">
        <f t="shared" si="7"/>
        <v>7.622854492</v>
      </c>
      <c r="O718" s="10">
        <f t="shared" si="8"/>
        <v>22.0942945</v>
      </c>
      <c r="P718" s="9">
        <v>20.0</v>
      </c>
      <c r="Q718" s="11" t="str">
        <f t="shared" si="9"/>
        <v>cobertura correcta</v>
      </c>
      <c r="R718" s="12"/>
      <c r="S718" s="8"/>
      <c r="T718" s="12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5" t="s">
        <v>1380</v>
      </c>
      <c r="B719" s="6" t="s">
        <v>1381</v>
      </c>
      <c r="C719" s="6">
        <f t="shared" si="1"/>
        <v>6545</v>
      </c>
      <c r="D719" s="6">
        <f t="shared" si="46"/>
        <v>135</v>
      </c>
      <c r="E719" s="7">
        <v>0.0</v>
      </c>
      <c r="F719" s="8"/>
      <c r="G719" s="6">
        <f t="shared" si="3"/>
        <v>3960</v>
      </c>
      <c r="H719" s="6">
        <f t="shared" si="4"/>
        <v>17138</v>
      </c>
      <c r="I719" s="6">
        <f t="shared" si="5"/>
        <v>26729</v>
      </c>
      <c r="J719" s="6">
        <f t="shared" si="6"/>
        <v>52112</v>
      </c>
      <c r="K719" s="9"/>
      <c r="L719" s="9"/>
      <c r="M719" s="9"/>
      <c r="N719" s="9">
        <f t="shared" si="7"/>
        <v>7.96210848</v>
      </c>
      <c r="O719" s="10">
        <f t="shared" si="8"/>
        <v>49.58333333</v>
      </c>
      <c r="P719" s="9">
        <v>20.0</v>
      </c>
      <c r="Q719" s="11" t="str">
        <f t="shared" si="9"/>
        <v>cobertura correcta</v>
      </c>
      <c r="R719" s="12"/>
      <c r="S719" s="8"/>
      <c r="T719" s="12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5" t="s">
        <v>1382</v>
      </c>
      <c r="B720" s="6" t="s">
        <v>1383</v>
      </c>
      <c r="C720" s="6">
        <f t="shared" si="1"/>
        <v>1392</v>
      </c>
      <c r="D720" s="6">
        <f t="shared" si="46"/>
        <v>7</v>
      </c>
      <c r="E720" s="7">
        <v>0.0</v>
      </c>
      <c r="F720" s="8"/>
      <c r="G720" s="6">
        <f t="shared" si="3"/>
        <v>4006</v>
      </c>
      <c r="H720" s="6">
        <f t="shared" si="4"/>
        <v>12765</v>
      </c>
      <c r="I720" s="6">
        <f t="shared" si="5"/>
        <v>24622</v>
      </c>
      <c r="J720" s="6">
        <f t="shared" si="6"/>
        <v>90823</v>
      </c>
      <c r="K720" s="9"/>
      <c r="L720" s="9"/>
      <c r="M720" s="9"/>
      <c r="N720" s="9">
        <f t="shared" si="7"/>
        <v>65.24640805</v>
      </c>
      <c r="O720" s="10">
        <f t="shared" si="8"/>
        <v>10.42436345</v>
      </c>
      <c r="P720" s="9">
        <v>20.0</v>
      </c>
      <c r="Q720" s="11" t="str">
        <f t="shared" si="9"/>
        <v>¡Compra YA!</v>
      </c>
      <c r="R720" s="12"/>
      <c r="S720" s="8"/>
      <c r="T720" s="12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5" t="s">
        <v>1384</v>
      </c>
      <c r="B721" s="6" t="s">
        <v>1385</v>
      </c>
      <c r="C721" s="6">
        <f t="shared" si="1"/>
        <v>2643</v>
      </c>
      <c r="D721" s="6">
        <f t="shared" si="46"/>
        <v>165</v>
      </c>
      <c r="E721" s="7">
        <v>0.0</v>
      </c>
      <c r="F721" s="8"/>
      <c r="G721" s="6">
        <f t="shared" si="3"/>
        <v>8087</v>
      </c>
      <c r="H721" s="6">
        <f t="shared" si="4"/>
        <v>13570</v>
      </c>
      <c r="I721" s="6">
        <f t="shared" si="5"/>
        <v>28278</v>
      </c>
      <c r="J721" s="6">
        <f t="shared" si="6"/>
        <v>49603</v>
      </c>
      <c r="K721" s="9"/>
      <c r="L721" s="9"/>
      <c r="M721" s="9"/>
      <c r="N721" s="9">
        <f t="shared" si="7"/>
        <v>18.76768823</v>
      </c>
      <c r="O721" s="10">
        <f t="shared" si="8"/>
        <v>9.804624706</v>
      </c>
      <c r="P721" s="9">
        <v>20.0</v>
      </c>
      <c r="Q721" s="11" t="str">
        <f t="shared" si="9"/>
        <v>¡Compra YA!</v>
      </c>
      <c r="R721" s="12"/>
      <c r="S721" s="8"/>
      <c r="T721" s="12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5" t="s">
        <v>1386</v>
      </c>
      <c r="B722" s="6" t="s">
        <v>1387</v>
      </c>
      <c r="C722" s="6">
        <f t="shared" si="1"/>
        <v>1960</v>
      </c>
      <c r="D722" s="6">
        <f t="shared" si="46"/>
        <v>161</v>
      </c>
      <c r="E722" s="7">
        <v>0.0</v>
      </c>
      <c r="F722" s="8"/>
      <c r="G722" s="6">
        <f t="shared" si="3"/>
        <v>4963</v>
      </c>
      <c r="H722" s="6">
        <f t="shared" si="4"/>
        <v>18019</v>
      </c>
      <c r="I722" s="6">
        <f t="shared" si="5"/>
        <v>24199</v>
      </c>
      <c r="J722" s="6">
        <f t="shared" si="6"/>
        <v>45939</v>
      </c>
      <c r="K722" s="9"/>
      <c r="L722" s="9"/>
      <c r="M722" s="9"/>
      <c r="N722" s="9">
        <f t="shared" si="7"/>
        <v>23.43826531</v>
      </c>
      <c r="O722" s="10">
        <f t="shared" si="8"/>
        <v>11.84767278</v>
      </c>
      <c r="P722" s="9">
        <v>20.0</v>
      </c>
      <c r="Q722" s="11" t="str">
        <f t="shared" si="9"/>
        <v>¡Compra YA!</v>
      </c>
      <c r="R722" s="12"/>
      <c r="S722" s="8"/>
      <c r="T722" s="12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5" t="s">
        <v>1388</v>
      </c>
      <c r="B723" s="6" t="s">
        <v>1389</v>
      </c>
      <c r="C723" s="6">
        <f t="shared" si="1"/>
        <v>1028</v>
      </c>
      <c r="D723" s="6">
        <f t="shared" si="46"/>
        <v>172</v>
      </c>
      <c r="E723" s="7">
        <v>0.0</v>
      </c>
      <c r="F723" s="8"/>
      <c r="G723" s="6">
        <f t="shared" si="3"/>
        <v>6933</v>
      </c>
      <c r="H723" s="6">
        <f t="shared" si="4"/>
        <v>12364</v>
      </c>
      <c r="I723" s="6">
        <f t="shared" si="5"/>
        <v>19389</v>
      </c>
      <c r="J723" s="6">
        <f t="shared" si="6"/>
        <v>92699</v>
      </c>
      <c r="K723" s="9"/>
      <c r="L723" s="9"/>
      <c r="M723" s="9"/>
      <c r="N723" s="9">
        <f t="shared" si="7"/>
        <v>90.17412451</v>
      </c>
      <c r="O723" s="10">
        <f t="shared" si="8"/>
        <v>4.448290783</v>
      </c>
      <c r="P723" s="9">
        <v>20.0</v>
      </c>
      <c r="Q723" s="11" t="str">
        <f t="shared" si="9"/>
        <v>¡Compra YA!</v>
      </c>
      <c r="R723" s="12"/>
      <c r="S723" s="8"/>
      <c r="T723" s="12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5" t="s">
        <v>1390</v>
      </c>
      <c r="B724" s="6" t="s">
        <v>1391</v>
      </c>
      <c r="C724" s="6">
        <f t="shared" si="1"/>
        <v>1840</v>
      </c>
      <c r="D724" s="6">
        <f t="shared" si="46"/>
        <v>85</v>
      </c>
      <c r="E724" s="7">
        <v>0.0</v>
      </c>
      <c r="F724" s="8"/>
      <c r="G724" s="6">
        <f t="shared" si="3"/>
        <v>5370</v>
      </c>
      <c r="H724" s="6">
        <f t="shared" si="4"/>
        <v>10208</v>
      </c>
      <c r="I724" s="6">
        <f t="shared" si="5"/>
        <v>24306</v>
      </c>
      <c r="J724" s="6">
        <f t="shared" si="6"/>
        <v>57946</v>
      </c>
      <c r="K724" s="9"/>
      <c r="L724" s="9"/>
      <c r="M724" s="9"/>
      <c r="N724" s="9">
        <f t="shared" si="7"/>
        <v>31.4923913</v>
      </c>
      <c r="O724" s="10">
        <f t="shared" si="8"/>
        <v>10.27932961</v>
      </c>
      <c r="P724" s="9">
        <v>20.0</v>
      </c>
      <c r="Q724" s="11" t="str">
        <f t="shared" si="9"/>
        <v>¡Compra YA!</v>
      </c>
      <c r="R724" s="12"/>
      <c r="S724" s="8"/>
      <c r="T724" s="12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5" t="s">
        <v>1392</v>
      </c>
      <c r="B725" s="6" t="s">
        <v>1393</v>
      </c>
      <c r="C725" s="6">
        <f t="shared" si="1"/>
        <v>4011</v>
      </c>
      <c r="D725" s="6">
        <f t="shared" si="46"/>
        <v>138</v>
      </c>
      <c r="E725" s="7">
        <v>0.0</v>
      </c>
      <c r="F725" s="8"/>
      <c r="G725" s="6">
        <f t="shared" si="3"/>
        <v>1127</v>
      </c>
      <c r="H725" s="6">
        <f t="shared" si="4"/>
        <v>17584</v>
      </c>
      <c r="I725" s="6">
        <f t="shared" si="5"/>
        <v>25770</v>
      </c>
      <c r="J725" s="6">
        <f t="shared" si="6"/>
        <v>62873</v>
      </c>
      <c r="K725" s="9"/>
      <c r="L725" s="9"/>
      <c r="M725" s="9"/>
      <c r="N725" s="9">
        <f t="shared" si="7"/>
        <v>15.67514336</v>
      </c>
      <c r="O725" s="10">
        <f t="shared" si="8"/>
        <v>106.7701863</v>
      </c>
      <c r="P725" s="9">
        <v>20.0</v>
      </c>
      <c r="Q725" s="11" t="str">
        <f t="shared" si="9"/>
        <v>cobertura correcta</v>
      </c>
      <c r="R725" s="12"/>
      <c r="S725" s="8"/>
      <c r="T725" s="12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5.75" customHeight="1">
      <c r="A726" s="5" t="s">
        <v>1394</v>
      </c>
      <c r="B726" s="6" t="s">
        <v>1395</v>
      </c>
      <c r="C726" s="6">
        <f t="shared" si="1"/>
        <v>5730</v>
      </c>
      <c r="D726" s="6">
        <f t="shared" si="46"/>
        <v>176</v>
      </c>
      <c r="E726" s="7">
        <v>0.0</v>
      </c>
      <c r="F726" s="8"/>
      <c r="G726" s="6">
        <f t="shared" si="3"/>
        <v>6676</v>
      </c>
      <c r="H726" s="6">
        <f t="shared" si="4"/>
        <v>12060</v>
      </c>
      <c r="I726" s="6">
        <f t="shared" si="5"/>
        <v>25648</v>
      </c>
      <c r="J726" s="6">
        <f t="shared" si="6"/>
        <v>82829</v>
      </c>
      <c r="K726" s="9"/>
      <c r="L726" s="9"/>
      <c r="M726" s="9"/>
      <c r="N726" s="9">
        <f t="shared" si="7"/>
        <v>14.45532286</v>
      </c>
      <c r="O726" s="10">
        <f t="shared" si="8"/>
        <v>25.74895147</v>
      </c>
      <c r="P726" s="9">
        <v>20.0</v>
      </c>
      <c r="Q726" s="11" t="str">
        <f t="shared" si="9"/>
        <v>cobertura correcta</v>
      </c>
      <c r="R726" s="12"/>
      <c r="S726" s="8"/>
      <c r="T726" s="12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5.75" customHeight="1">
      <c r="A727" s="5" t="s">
        <v>1396</v>
      </c>
      <c r="B727" s="6" t="s">
        <v>1397</v>
      </c>
      <c r="C727" s="6">
        <f t="shared" si="1"/>
        <v>6340</v>
      </c>
      <c r="D727" s="6">
        <f t="shared" si="46"/>
        <v>0</v>
      </c>
      <c r="E727" s="7">
        <v>0.0</v>
      </c>
      <c r="F727" s="8"/>
      <c r="G727" s="6">
        <f t="shared" si="3"/>
        <v>1242</v>
      </c>
      <c r="H727" s="6">
        <f t="shared" si="4"/>
        <v>14044</v>
      </c>
      <c r="I727" s="6">
        <f t="shared" si="5"/>
        <v>21937</v>
      </c>
      <c r="J727" s="6">
        <f t="shared" si="6"/>
        <v>52370</v>
      </c>
      <c r="K727" s="9"/>
      <c r="L727" s="9"/>
      <c r="M727" s="9"/>
      <c r="N727" s="9">
        <f t="shared" si="7"/>
        <v>8.260252366</v>
      </c>
      <c r="O727" s="10">
        <f t="shared" si="8"/>
        <v>153.1400966</v>
      </c>
      <c r="P727" s="9">
        <v>20.0</v>
      </c>
      <c r="Q727" s="11" t="str">
        <f t="shared" si="9"/>
        <v>cobertura correcta</v>
      </c>
      <c r="R727" s="12"/>
      <c r="S727" s="8"/>
      <c r="T727" s="12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5.75" customHeight="1">
      <c r="A728" s="5" t="s">
        <v>1398</v>
      </c>
      <c r="B728" s="6" t="s">
        <v>1399</v>
      </c>
      <c r="C728" s="6">
        <f t="shared" si="1"/>
        <v>1281</v>
      </c>
      <c r="D728" s="6">
        <f t="shared" si="46"/>
        <v>32</v>
      </c>
      <c r="E728" s="7">
        <v>0.0</v>
      </c>
      <c r="F728" s="8"/>
      <c r="G728" s="6">
        <f t="shared" si="3"/>
        <v>4368</v>
      </c>
      <c r="H728" s="6">
        <f t="shared" si="4"/>
        <v>15530</v>
      </c>
      <c r="I728" s="6">
        <f t="shared" si="5"/>
        <v>24890</v>
      </c>
      <c r="J728" s="6">
        <f t="shared" si="6"/>
        <v>35657</v>
      </c>
      <c r="K728" s="9"/>
      <c r="L728" s="9"/>
      <c r="M728" s="9"/>
      <c r="N728" s="9">
        <f t="shared" si="7"/>
        <v>27.83528493</v>
      </c>
      <c r="O728" s="10">
        <f t="shared" si="8"/>
        <v>8.798076923</v>
      </c>
      <c r="P728" s="9">
        <v>20.0</v>
      </c>
      <c r="Q728" s="11" t="str">
        <f t="shared" si="9"/>
        <v>¡Compra YA!</v>
      </c>
      <c r="R728" s="12"/>
      <c r="S728" s="8"/>
      <c r="T728" s="12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5.75" customHeight="1">
      <c r="A729" s="5" t="s">
        <v>1400</v>
      </c>
      <c r="B729" s="6" t="s">
        <v>1401</v>
      </c>
      <c r="C729" s="6">
        <f t="shared" si="1"/>
        <v>1008</v>
      </c>
      <c r="D729" s="6">
        <f t="shared" si="46"/>
        <v>22</v>
      </c>
      <c r="E729" s="7">
        <v>0.0</v>
      </c>
      <c r="F729" s="8"/>
      <c r="G729" s="6">
        <f t="shared" si="3"/>
        <v>8909</v>
      </c>
      <c r="H729" s="6">
        <f t="shared" si="4"/>
        <v>10912</v>
      </c>
      <c r="I729" s="6">
        <f t="shared" si="5"/>
        <v>19051</v>
      </c>
      <c r="J729" s="6">
        <f t="shared" si="6"/>
        <v>30102</v>
      </c>
      <c r="K729" s="9"/>
      <c r="L729" s="9"/>
      <c r="M729" s="9"/>
      <c r="N729" s="9">
        <f t="shared" si="7"/>
        <v>29.86309524</v>
      </c>
      <c r="O729" s="10">
        <f t="shared" si="8"/>
        <v>3.39432035</v>
      </c>
      <c r="P729" s="9">
        <v>20.0</v>
      </c>
      <c r="Q729" s="11" t="str">
        <f t="shared" si="9"/>
        <v>¡Compra YA!</v>
      </c>
      <c r="R729" s="12"/>
      <c r="S729" s="8"/>
      <c r="T729" s="12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5.75" customHeight="1">
      <c r="A730" s="5" t="s">
        <v>1402</v>
      </c>
      <c r="B730" s="6" t="s">
        <v>1403</v>
      </c>
      <c r="C730" s="6">
        <f t="shared" si="1"/>
        <v>3616</v>
      </c>
      <c r="D730" s="6">
        <f t="shared" si="46"/>
        <v>26</v>
      </c>
      <c r="E730" s="7">
        <v>0.0</v>
      </c>
      <c r="F730" s="8"/>
      <c r="G730" s="6">
        <f t="shared" si="3"/>
        <v>4301</v>
      </c>
      <c r="H730" s="6">
        <f t="shared" si="4"/>
        <v>13923</v>
      </c>
      <c r="I730" s="6">
        <f t="shared" si="5"/>
        <v>24948</v>
      </c>
      <c r="J730" s="6">
        <f t="shared" si="6"/>
        <v>54453</v>
      </c>
      <c r="K730" s="9"/>
      <c r="L730" s="9"/>
      <c r="M730" s="9"/>
      <c r="N730" s="9">
        <f t="shared" si="7"/>
        <v>15.05890487</v>
      </c>
      <c r="O730" s="10">
        <f t="shared" si="8"/>
        <v>25.22204139</v>
      </c>
      <c r="P730" s="9">
        <v>20.0</v>
      </c>
      <c r="Q730" s="11" t="str">
        <f t="shared" si="9"/>
        <v>cobertura correcta</v>
      </c>
      <c r="R730" s="12"/>
      <c r="S730" s="8"/>
      <c r="T730" s="12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5.75" customHeight="1">
      <c r="A731" s="5" t="s">
        <v>1404</v>
      </c>
      <c r="B731" s="6"/>
      <c r="C731" s="6">
        <f t="shared" si="1"/>
        <v>3479</v>
      </c>
      <c r="D731" s="6">
        <f t="shared" si="46"/>
        <v>2</v>
      </c>
      <c r="E731" s="7">
        <v>0.0</v>
      </c>
      <c r="F731" s="8"/>
      <c r="G731" s="6">
        <f t="shared" si="3"/>
        <v>8807</v>
      </c>
      <c r="H731" s="6">
        <f t="shared" si="4"/>
        <v>12137</v>
      </c>
      <c r="I731" s="6">
        <f t="shared" si="5"/>
        <v>22596</v>
      </c>
      <c r="J731" s="6">
        <f t="shared" si="6"/>
        <v>82189</v>
      </c>
      <c r="K731" s="9"/>
      <c r="L731" s="9"/>
      <c r="M731" s="9"/>
      <c r="N731" s="9">
        <f t="shared" si="7"/>
        <v>23.62431733</v>
      </c>
      <c r="O731" s="10">
        <f t="shared" si="8"/>
        <v>11.8508005</v>
      </c>
      <c r="P731" s="9">
        <v>20.0</v>
      </c>
      <c r="Q731" s="11" t="str">
        <f t="shared" si="9"/>
        <v>¡Compra YA!</v>
      </c>
      <c r="R731" s="12"/>
      <c r="S731" s="8"/>
      <c r="T731" s="12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5.75" customHeight="1">
      <c r="A732" s="5" t="s">
        <v>1405</v>
      </c>
      <c r="B732" s="6" t="s">
        <v>1406</v>
      </c>
      <c r="C732" s="6">
        <f t="shared" si="1"/>
        <v>2176</v>
      </c>
      <c r="D732" s="6">
        <f t="shared" si="46"/>
        <v>185</v>
      </c>
      <c r="E732" s="6">
        <f>RANDBETWEEN(0, 1000)</f>
        <v>676</v>
      </c>
      <c r="F732" s="8"/>
      <c r="G732" s="6">
        <f t="shared" si="3"/>
        <v>8259</v>
      </c>
      <c r="H732" s="6">
        <f t="shared" si="4"/>
        <v>13049</v>
      </c>
      <c r="I732" s="6">
        <f t="shared" si="5"/>
        <v>19536</v>
      </c>
      <c r="J732" s="6">
        <f t="shared" si="6"/>
        <v>30621</v>
      </c>
      <c r="K732" s="9"/>
      <c r="L732" s="9"/>
      <c r="M732" s="9"/>
      <c r="N732" s="9">
        <f t="shared" si="7"/>
        <v>14.07215074</v>
      </c>
      <c r="O732" s="10">
        <f t="shared" si="8"/>
        <v>7.904104613</v>
      </c>
      <c r="P732" s="9">
        <v>20.0</v>
      </c>
      <c r="Q732" s="11" t="str">
        <f t="shared" si="9"/>
        <v>¡Compra YA!</v>
      </c>
      <c r="R732" s="12"/>
      <c r="S732" s="8"/>
      <c r="T732" s="12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5.75" customHeight="1">
      <c r="A733" s="5" t="s">
        <v>1407</v>
      </c>
      <c r="B733" s="6" t="s">
        <v>1408</v>
      </c>
      <c r="C733" s="6">
        <f t="shared" si="1"/>
        <v>2939</v>
      </c>
      <c r="D733" s="6">
        <f t="shared" si="46"/>
        <v>103</v>
      </c>
      <c r="E733" s="7">
        <v>0.0</v>
      </c>
      <c r="F733" s="8"/>
      <c r="G733" s="6">
        <f t="shared" si="3"/>
        <v>1407</v>
      </c>
      <c r="H733" s="6">
        <f t="shared" si="4"/>
        <v>11422</v>
      </c>
      <c r="I733" s="6">
        <f t="shared" si="5"/>
        <v>24287</v>
      </c>
      <c r="J733" s="6">
        <f t="shared" si="6"/>
        <v>50796</v>
      </c>
      <c r="K733" s="9"/>
      <c r="L733" s="9"/>
      <c r="M733" s="9"/>
      <c r="N733" s="9">
        <f t="shared" si="7"/>
        <v>17.28342974</v>
      </c>
      <c r="O733" s="10">
        <f t="shared" si="8"/>
        <v>62.6652452</v>
      </c>
      <c r="P733" s="9">
        <v>20.0</v>
      </c>
      <c r="Q733" s="11" t="str">
        <f t="shared" si="9"/>
        <v>cobertura correcta</v>
      </c>
      <c r="R733" s="12"/>
      <c r="S733" s="8"/>
      <c r="T733" s="12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5.75" customHeight="1">
      <c r="A734" s="5" t="s">
        <v>1409</v>
      </c>
      <c r="B734" s="6" t="s">
        <v>1410</v>
      </c>
      <c r="C734" s="6">
        <f t="shared" si="1"/>
        <v>5280</v>
      </c>
      <c r="D734" s="6">
        <f t="shared" si="46"/>
        <v>155</v>
      </c>
      <c r="E734" s="7">
        <v>0.0</v>
      </c>
      <c r="F734" s="8"/>
      <c r="G734" s="6">
        <f t="shared" si="3"/>
        <v>5304</v>
      </c>
      <c r="H734" s="6">
        <f t="shared" si="4"/>
        <v>16291</v>
      </c>
      <c r="I734" s="6">
        <f t="shared" si="5"/>
        <v>26956</v>
      </c>
      <c r="J734" s="6">
        <f t="shared" si="6"/>
        <v>74511</v>
      </c>
      <c r="K734" s="9"/>
      <c r="L734" s="9"/>
      <c r="M734" s="9"/>
      <c r="N734" s="9">
        <f t="shared" si="7"/>
        <v>14.11193182</v>
      </c>
      <c r="O734" s="10">
        <f t="shared" si="8"/>
        <v>29.86425339</v>
      </c>
      <c r="P734" s="9">
        <v>20.0</v>
      </c>
      <c r="Q734" s="11" t="str">
        <f t="shared" si="9"/>
        <v>cobertura correcta</v>
      </c>
      <c r="R734" s="12"/>
      <c r="S734" s="8"/>
      <c r="T734" s="12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5.75" customHeight="1">
      <c r="A735" s="5" t="s">
        <v>1411</v>
      </c>
      <c r="B735" s="6"/>
      <c r="C735" s="6">
        <f t="shared" si="1"/>
        <v>8523</v>
      </c>
      <c r="D735" s="6">
        <f t="shared" si="46"/>
        <v>182</v>
      </c>
      <c r="E735" s="7">
        <v>0.0</v>
      </c>
      <c r="F735" s="8"/>
      <c r="G735" s="6">
        <f t="shared" si="3"/>
        <v>2414</v>
      </c>
      <c r="H735" s="6">
        <f t="shared" si="4"/>
        <v>14259</v>
      </c>
      <c r="I735" s="6">
        <f t="shared" si="5"/>
        <v>26032</v>
      </c>
      <c r="J735" s="6">
        <f t="shared" si="6"/>
        <v>80748</v>
      </c>
      <c r="K735" s="9"/>
      <c r="L735" s="9"/>
      <c r="M735" s="9"/>
      <c r="N735" s="9">
        <f t="shared" si="7"/>
        <v>9.474128828</v>
      </c>
      <c r="O735" s="10">
        <f t="shared" si="8"/>
        <v>105.9196355</v>
      </c>
      <c r="P735" s="9">
        <v>20.0</v>
      </c>
      <c r="Q735" s="11" t="str">
        <f t="shared" si="9"/>
        <v>cobertura correcta</v>
      </c>
      <c r="R735" s="12"/>
      <c r="S735" s="8"/>
      <c r="T735" s="12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5.75" customHeight="1">
      <c r="A736" s="5" t="s">
        <v>1412</v>
      </c>
      <c r="B736" s="6"/>
      <c r="C736" s="6">
        <f t="shared" si="1"/>
        <v>4443</v>
      </c>
      <c r="D736" s="6">
        <f t="shared" si="46"/>
        <v>171</v>
      </c>
      <c r="E736" s="7">
        <v>0.0</v>
      </c>
      <c r="F736" s="8"/>
      <c r="G736" s="6">
        <f t="shared" si="3"/>
        <v>3959</v>
      </c>
      <c r="H736" s="6">
        <f t="shared" si="4"/>
        <v>11014</v>
      </c>
      <c r="I736" s="6">
        <f t="shared" si="5"/>
        <v>27835</v>
      </c>
      <c r="J736" s="6">
        <f t="shared" si="6"/>
        <v>65744</v>
      </c>
      <c r="K736" s="9"/>
      <c r="L736" s="9"/>
      <c r="M736" s="9"/>
      <c r="N736" s="9">
        <f t="shared" si="7"/>
        <v>14.79720909</v>
      </c>
      <c r="O736" s="10">
        <f t="shared" si="8"/>
        <v>33.66759283</v>
      </c>
      <c r="P736" s="9">
        <v>20.0</v>
      </c>
      <c r="Q736" s="11" t="str">
        <f t="shared" si="9"/>
        <v>cobertura correcta</v>
      </c>
      <c r="R736" s="12"/>
      <c r="S736" s="8"/>
      <c r="T736" s="12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5.75" customHeight="1">
      <c r="A737" s="5" t="s">
        <v>1413</v>
      </c>
      <c r="B737" s="6"/>
      <c r="C737" s="6">
        <f t="shared" si="1"/>
        <v>3984</v>
      </c>
      <c r="D737" s="6">
        <f t="shared" si="46"/>
        <v>104</v>
      </c>
      <c r="E737" s="7">
        <v>0.0</v>
      </c>
      <c r="F737" s="8"/>
      <c r="G737" s="6">
        <f t="shared" si="3"/>
        <v>3535</v>
      </c>
      <c r="H737" s="6">
        <f t="shared" si="4"/>
        <v>13567</v>
      </c>
      <c r="I737" s="6">
        <f t="shared" si="5"/>
        <v>19480</v>
      </c>
      <c r="J737" s="6">
        <f t="shared" si="6"/>
        <v>48166</v>
      </c>
      <c r="K737" s="9"/>
      <c r="L737" s="9"/>
      <c r="M737" s="9"/>
      <c r="N737" s="9">
        <f t="shared" si="7"/>
        <v>12.08985944</v>
      </c>
      <c r="O737" s="10">
        <f t="shared" si="8"/>
        <v>33.81046676</v>
      </c>
      <c r="P737" s="9">
        <v>20.0</v>
      </c>
      <c r="Q737" s="11" t="str">
        <f t="shared" si="9"/>
        <v>cobertura correcta</v>
      </c>
      <c r="R737" s="12"/>
      <c r="S737" s="8"/>
      <c r="T737" s="12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5.75" customHeight="1">
      <c r="A738" s="5" t="s">
        <v>1414</v>
      </c>
      <c r="B738" s="6"/>
      <c r="C738" s="6">
        <f t="shared" si="1"/>
        <v>8776</v>
      </c>
      <c r="D738" s="6">
        <f t="shared" si="46"/>
        <v>55</v>
      </c>
      <c r="E738" s="7">
        <v>0.0</v>
      </c>
      <c r="F738" s="8"/>
      <c r="G738" s="6">
        <f t="shared" si="3"/>
        <v>8588</v>
      </c>
      <c r="H738" s="6">
        <f t="shared" si="4"/>
        <v>11463</v>
      </c>
      <c r="I738" s="6">
        <f t="shared" si="5"/>
        <v>19050</v>
      </c>
      <c r="J738" s="6">
        <f t="shared" si="6"/>
        <v>90105</v>
      </c>
      <c r="K738" s="9"/>
      <c r="L738" s="9"/>
      <c r="M738" s="9"/>
      <c r="N738" s="9">
        <f t="shared" si="7"/>
        <v>10.26720602</v>
      </c>
      <c r="O738" s="10">
        <f t="shared" si="8"/>
        <v>30.65673032</v>
      </c>
      <c r="P738" s="9">
        <v>20.0</v>
      </c>
      <c r="Q738" s="11" t="str">
        <f t="shared" si="9"/>
        <v>cobertura correcta</v>
      </c>
      <c r="R738" s="12"/>
      <c r="S738" s="8"/>
      <c r="T738" s="12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5.75" customHeight="1">
      <c r="A739" s="5" t="s">
        <v>1415</v>
      </c>
      <c r="B739" s="6"/>
      <c r="C739" s="6">
        <f t="shared" si="1"/>
        <v>2765</v>
      </c>
      <c r="D739" s="6">
        <f t="shared" si="46"/>
        <v>64</v>
      </c>
      <c r="E739" s="7">
        <v>0.0</v>
      </c>
      <c r="F739" s="8"/>
      <c r="G739" s="6">
        <f t="shared" si="3"/>
        <v>2921</v>
      </c>
      <c r="H739" s="6">
        <f t="shared" si="4"/>
        <v>17043</v>
      </c>
      <c r="I739" s="6">
        <f t="shared" si="5"/>
        <v>21836</v>
      </c>
      <c r="J739" s="6">
        <f t="shared" si="6"/>
        <v>77998</v>
      </c>
      <c r="K739" s="9"/>
      <c r="L739" s="9"/>
      <c r="M739" s="9"/>
      <c r="N739" s="9">
        <f t="shared" si="7"/>
        <v>28.20904159</v>
      </c>
      <c r="O739" s="10">
        <f t="shared" si="8"/>
        <v>28.39780897</v>
      </c>
      <c r="P739" s="9">
        <v>20.0</v>
      </c>
      <c r="Q739" s="11" t="str">
        <f t="shared" si="9"/>
        <v>cobertura correcta</v>
      </c>
      <c r="R739" s="12"/>
      <c r="S739" s="8"/>
      <c r="T739" s="12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5.75" customHeight="1">
      <c r="A740" s="5" t="s">
        <v>1416</v>
      </c>
      <c r="B740" s="6"/>
      <c r="C740" s="6">
        <f t="shared" si="1"/>
        <v>4334</v>
      </c>
      <c r="D740" s="6">
        <f t="shared" si="46"/>
        <v>116</v>
      </c>
      <c r="E740" s="7">
        <v>0.0</v>
      </c>
      <c r="F740" s="8"/>
      <c r="G740" s="6">
        <f t="shared" si="3"/>
        <v>7969</v>
      </c>
      <c r="H740" s="6">
        <f t="shared" si="4"/>
        <v>17560</v>
      </c>
      <c r="I740" s="6">
        <f t="shared" si="5"/>
        <v>19505</v>
      </c>
      <c r="J740" s="6">
        <f t="shared" si="6"/>
        <v>93109</v>
      </c>
      <c r="K740" s="9"/>
      <c r="L740" s="9"/>
      <c r="M740" s="9"/>
      <c r="N740" s="9">
        <f t="shared" si="7"/>
        <v>21.48338717</v>
      </c>
      <c r="O740" s="10">
        <f t="shared" si="8"/>
        <v>16.31572343</v>
      </c>
      <c r="P740" s="9">
        <v>20.0</v>
      </c>
      <c r="Q740" s="11" t="str">
        <f t="shared" si="9"/>
        <v>¡Compra YA!</v>
      </c>
      <c r="R740" s="12"/>
      <c r="S740" s="8"/>
      <c r="T740" s="12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5.75" customHeight="1">
      <c r="A741" s="5" t="s">
        <v>1417</v>
      </c>
      <c r="B741" s="6"/>
      <c r="C741" s="6">
        <f t="shared" si="1"/>
        <v>8379</v>
      </c>
      <c r="D741" s="6">
        <f t="shared" si="46"/>
        <v>18</v>
      </c>
      <c r="E741" s="7">
        <v>0.0</v>
      </c>
      <c r="F741" s="8"/>
      <c r="G741" s="6">
        <f t="shared" si="3"/>
        <v>7157</v>
      </c>
      <c r="H741" s="6">
        <f t="shared" si="4"/>
        <v>11078</v>
      </c>
      <c r="I741" s="6">
        <f t="shared" si="5"/>
        <v>22214</v>
      </c>
      <c r="J741" s="6">
        <f t="shared" si="6"/>
        <v>50703</v>
      </c>
      <c r="K741" s="9"/>
      <c r="L741" s="9"/>
      <c r="M741" s="9"/>
      <c r="N741" s="9">
        <f t="shared" si="7"/>
        <v>6.051199427</v>
      </c>
      <c r="O741" s="10">
        <f t="shared" si="8"/>
        <v>35.12225793</v>
      </c>
      <c r="P741" s="9">
        <v>20.0</v>
      </c>
      <c r="Q741" s="11" t="str">
        <f t="shared" si="9"/>
        <v>cobertura correcta</v>
      </c>
      <c r="R741" s="12"/>
      <c r="S741" s="8"/>
      <c r="T741" s="12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5.75" customHeight="1">
      <c r="A742" s="5" t="s">
        <v>1418</v>
      </c>
      <c r="B742" s="6"/>
      <c r="C742" s="6">
        <f t="shared" si="1"/>
        <v>5875</v>
      </c>
      <c r="D742" s="6">
        <f t="shared" si="46"/>
        <v>166</v>
      </c>
      <c r="E742" s="7">
        <v>0.0</v>
      </c>
      <c r="F742" s="8"/>
      <c r="G742" s="6">
        <f t="shared" si="3"/>
        <v>6810</v>
      </c>
      <c r="H742" s="6">
        <f t="shared" si="4"/>
        <v>12164</v>
      </c>
      <c r="I742" s="6">
        <f t="shared" si="5"/>
        <v>27922</v>
      </c>
      <c r="J742" s="6">
        <f t="shared" si="6"/>
        <v>72866</v>
      </c>
      <c r="K742" s="9"/>
      <c r="L742" s="9"/>
      <c r="M742" s="9"/>
      <c r="N742" s="9">
        <f t="shared" si="7"/>
        <v>12.4027234</v>
      </c>
      <c r="O742" s="10">
        <f t="shared" si="8"/>
        <v>25.88105727</v>
      </c>
      <c r="P742" s="9">
        <v>20.0</v>
      </c>
      <c r="Q742" s="11" t="str">
        <f t="shared" si="9"/>
        <v>cobertura correcta</v>
      </c>
      <c r="R742" s="12"/>
      <c r="S742" s="8"/>
      <c r="T742" s="12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5.75" customHeight="1">
      <c r="A743" s="5" t="s">
        <v>1419</v>
      </c>
      <c r="B743" s="6"/>
      <c r="C743" s="6">
        <f t="shared" si="1"/>
        <v>8457</v>
      </c>
      <c r="D743" s="6">
        <f t="shared" si="46"/>
        <v>27</v>
      </c>
      <c r="E743" s="7">
        <v>0.0</v>
      </c>
      <c r="F743" s="8"/>
      <c r="G743" s="6">
        <f t="shared" si="3"/>
        <v>3693</v>
      </c>
      <c r="H743" s="6">
        <f t="shared" si="4"/>
        <v>18042</v>
      </c>
      <c r="I743" s="6">
        <f t="shared" si="5"/>
        <v>26363</v>
      </c>
      <c r="J743" s="6">
        <f t="shared" si="6"/>
        <v>57564</v>
      </c>
      <c r="K743" s="9"/>
      <c r="L743" s="9"/>
      <c r="M743" s="9"/>
      <c r="N743" s="9">
        <f t="shared" si="7"/>
        <v>6.806669032</v>
      </c>
      <c r="O743" s="10">
        <f t="shared" si="8"/>
        <v>68.7002437</v>
      </c>
      <c r="P743" s="9">
        <v>20.0</v>
      </c>
      <c r="Q743" s="11" t="str">
        <f t="shared" si="9"/>
        <v>cobertura correcta</v>
      </c>
      <c r="R743" s="12"/>
      <c r="S743" s="8"/>
      <c r="T743" s="12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5.75" customHeight="1">
      <c r="A744" s="5" t="s">
        <v>1420</v>
      </c>
      <c r="B744" s="6"/>
      <c r="C744" s="6">
        <f t="shared" si="1"/>
        <v>7010</v>
      </c>
      <c r="D744" s="6">
        <f t="shared" si="46"/>
        <v>90</v>
      </c>
      <c r="E744" s="7">
        <v>0.0</v>
      </c>
      <c r="F744" s="8"/>
      <c r="G744" s="6">
        <f t="shared" si="3"/>
        <v>7544</v>
      </c>
      <c r="H744" s="6">
        <f t="shared" si="4"/>
        <v>16842</v>
      </c>
      <c r="I744" s="6">
        <f t="shared" si="5"/>
        <v>22983</v>
      </c>
      <c r="J744" s="6">
        <f t="shared" si="6"/>
        <v>89940</v>
      </c>
      <c r="K744" s="9"/>
      <c r="L744" s="9"/>
      <c r="M744" s="9"/>
      <c r="N744" s="9">
        <f t="shared" si="7"/>
        <v>12.83024251</v>
      </c>
      <c r="O744" s="10">
        <f t="shared" si="8"/>
        <v>27.87645811</v>
      </c>
      <c r="P744" s="9">
        <v>20.0</v>
      </c>
      <c r="Q744" s="11" t="str">
        <f t="shared" si="9"/>
        <v>cobertura correcta</v>
      </c>
      <c r="R744" s="12"/>
      <c r="S744" s="8"/>
      <c r="T744" s="12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5.75" customHeight="1">
      <c r="A745" s="5" t="s">
        <v>1421</v>
      </c>
      <c r="B745" s="6"/>
      <c r="C745" s="6">
        <f t="shared" si="1"/>
        <v>7693</v>
      </c>
      <c r="D745" s="6">
        <f t="shared" si="46"/>
        <v>182</v>
      </c>
      <c r="E745" s="7">
        <v>0.0</v>
      </c>
      <c r="F745" s="8"/>
      <c r="G745" s="6">
        <f t="shared" si="3"/>
        <v>5190</v>
      </c>
      <c r="H745" s="6">
        <f t="shared" si="4"/>
        <v>14996</v>
      </c>
      <c r="I745" s="6">
        <f t="shared" si="5"/>
        <v>24963</v>
      </c>
      <c r="J745" s="6">
        <f t="shared" si="6"/>
        <v>32819</v>
      </c>
      <c r="K745" s="9"/>
      <c r="L745" s="9"/>
      <c r="M745" s="9"/>
      <c r="N745" s="9">
        <f t="shared" si="7"/>
        <v>4.266086052</v>
      </c>
      <c r="O745" s="10">
        <f t="shared" si="8"/>
        <v>44.46820809</v>
      </c>
      <c r="P745" s="9">
        <v>20.0</v>
      </c>
      <c r="Q745" s="11" t="str">
        <f t="shared" si="9"/>
        <v>cobertura correcta</v>
      </c>
      <c r="R745" s="12"/>
      <c r="S745" s="8"/>
      <c r="T745" s="12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5.75" customHeight="1">
      <c r="A746" s="5" t="s">
        <v>1422</v>
      </c>
      <c r="B746" s="6"/>
      <c r="C746" s="6">
        <f t="shared" si="1"/>
        <v>6302</v>
      </c>
      <c r="D746" s="6">
        <f t="shared" si="46"/>
        <v>45</v>
      </c>
      <c r="E746" s="7">
        <v>0.0</v>
      </c>
      <c r="F746" s="8"/>
      <c r="G746" s="6">
        <f t="shared" si="3"/>
        <v>3360</v>
      </c>
      <c r="H746" s="6">
        <f t="shared" si="4"/>
        <v>9271</v>
      </c>
      <c r="I746" s="6">
        <f t="shared" si="5"/>
        <v>28773</v>
      </c>
      <c r="J746" s="6">
        <f t="shared" si="6"/>
        <v>96062</v>
      </c>
      <c r="K746" s="9"/>
      <c r="L746" s="9"/>
      <c r="M746" s="9"/>
      <c r="N746" s="9">
        <f t="shared" si="7"/>
        <v>15.24309743</v>
      </c>
      <c r="O746" s="10">
        <f t="shared" si="8"/>
        <v>56.26785714</v>
      </c>
      <c r="P746" s="9">
        <v>20.0</v>
      </c>
      <c r="Q746" s="11" t="str">
        <f t="shared" si="9"/>
        <v>cobertura correcta</v>
      </c>
      <c r="R746" s="12"/>
      <c r="S746" s="8"/>
      <c r="T746" s="12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5.75" customHeight="1">
      <c r="A747" s="5" t="s">
        <v>1423</v>
      </c>
      <c r="B747" s="6"/>
      <c r="C747" s="6">
        <f t="shared" si="1"/>
        <v>4160</v>
      </c>
      <c r="D747" s="6">
        <f t="shared" si="46"/>
        <v>195</v>
      </c>
      <c r="E747" s="7">
        <v>0.0</v>
      </c>
      <c r="F747" s="8"/>
      <c r="G747" s="6">
        <f t="shared" si="3"/>
        <v>6191</v>
      </c>
      <c r="H747" s="6">
        <f t="shared" si="4"/>
        <v>14078</v>
      </c>
      <c r="I747" s="6">
        <f t="shared" si="5"/>
        <v>19489</v>
      </c>
      <c r="J747" s="6">
        <f t="shared" si="6"/>
        <v>50120</v>
      </c>
      <c r="K747" s="9"/>
      <c r="L747" s="9"/>
      <c r="M747" s="9"/>
      <c r="N747" s="9">
        <f t="shared" si="7"/>
        <v>12.04807692</v>
      </c>
      <c r="O747" s="10">
        <f t="shared" si="8"/>
        <v>20.1582943</v>
      </c>
      <c r="P747" s="9">
        <v>20.0</v>
      </c>
      <c r="Q747" s="11" t="str">
        <f t="shared" si="9"/>
        <v>cobertura correcta</v>
      </c>
      <c r="R747" s="12"/>
      <c r="S747" s="8"/>
      <c r="T747" s="12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5.75" customHeight="1">
      <c r="A748" s="5" t="s">
        <v>1424</v>
      </c>
      <c r="B748" s="6" t="s">
        <v>1425</v>
      </c>
      <c r="C748" s="6">
        <f t="shared" si="1"/>
        <v>8607</v>
      </c>
      <c r="D748" s="6">
        <f t="shared" si="46"/>
        <v>193</v>
      </c>
      <c r="E748" s="7">
        <v>0.0</v>
      </c>
      <c r="F748" s="8"/>
      <c r="G748" s="6">
        <f t="shared" si="3"/>
        <v>6944</v>
      </c>
      <c r="H748" s="6">
        <f t="shared" si="4"/>
        <v>13810</v>
      </c>
      <c r="I748" s="6">
        <f t="shared" si="5"/>
        <v>24593</v>
      </c>
      <c r="J748" s="6">
        <f t="shared" si="6"/>
        <v>38666</v>
      </c>
      <c r="K748" s="9"/>
      <c r="L748" s="9"/>
      <c r="M748" s="9"/>
      <c r="N748" s="9">
        <f t="shared" si="7"/>
        <v>4.492389915</v>
      </c>
      <c r="O748" s="10">
        <f t="shared" si="8"/>
        <v>37.18461982</v>
      </c>
      <c r="P748" s="9">
        <v>20.0</v>
      </c>
      <c r="Q748" s="11" t="str">
        <f t="shared" si="9"/>
        <v>cobertura correcta</v>
      </c>
      <c r="R748" s="12"/>
      <c r="S748" s="8"/>
      <c r="T748" s="12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5.75" customHeight="1">
      <c r="A749" s="5" t="s">
        <v>1426</v>
      </c>
      <c r="B749" s="6" t="s">
        <v>1427</v>
      </c>
      <c r="C749" s="6">
        <f t="shared" si="1"/>
        <v>7673</v>
      </c>
      <c r="D749" s="6">
        <f t="shared" si="46"/>
        <v>107</v>
      </c>
      <c r="E749" s="7">
        <v>0.0</v>
      </c>
      <c r="F749" s="8"/>
      <c r="G749" s="6">
        <f t="shared" si="3"/>
        <v>5303</v>
      </c>
      <c r="H749" s="6">
        <f t="shared" si="4"/>
        <v>18598</v>
      </c>
      <c r="I749" s="6">
        <f t="shared" si="5"/>
        <v>22932</v>
      </c>
      <c r="J749" s="6">
        <f t="shared" si="6"/>
        <v>95353</v>
      </c>
      <c r="K749" s="9"/>
      <c r="L749" s="9"/>
      <c r="M749" s="9"/>
      <c r="N749" s="9">
        <f t="shared" si="7"/>
        <v>12.42708198</v>
      </c>
      <c r="O749" s="10">
        <f t="shared" si="8"/>
        <v>43.40750519</v>
      </c>
      <c r="P749" s="9">
        <v>20.0</v>
      </c>
      <c r="Q749" s="11" t="str">
        <f t="shared" si="9"/>
        <v>cobertura correcta</v>
      </c>
      <c r="R749" s="12"/>
      <c r="S749" s="8"/>
      <c r="T749" s="12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5.75" customHeight="1">
      <c r="A750" s="5" t="s">
        <v>1428</v>
      </c>
      <c r="B750" s="6" t="s">
        <v>1429</v>
      </c>
      <c r="C750" s="6">
        <f t="shared" si="1"/>
        <v>3055</v>
      </c>
      <c r="D750" s="6">
        <f t="shared" si="46"/>
        <v>43</v>
      </c>
      <c r="E750" s="7">
        <v>0.0</v>
      </c>
      <c r="F750" s="8"/>
      <c r="G750" s="6">
        <f t="shared" si="3"/>
        <v>1200</v>
      </c>
      <c r="H750" s="6">
        <f t="shared" si="4"/>
        <v>10656</v>
      </c>
      <c r="I750" s="6">
        <f t="shared" si="5"/>
        <v>26348</v>
      </c>
      <c r="J750" s="6">
        <f t="shared" si="6"/>
        <v>39173</v>
      </c>
      <c r="K750" s="9"/>
      <c r="L750" s="9"/>
      <c r="M750" s="9"/>
      <c r="N750" s="9">
        <f t="shared" si="7"/>
        <v>12.82258592</v>
      </c>
      <c r="O750" s="10">
        <f t="shared" si="8"/>
        <v>76.375</v>
      </c>
      <c r="P750" s="9">
        <v>20.0</v>
      </c>
      <c r="Q750" s="11" t="str">
        <f t="shared" si="9"/>
        <v>cobertura correcta</v>
      </c>
      <c r="R750" s="12"/>
      <c r="S750" s="8"/>
      <c r="T750" s="12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5.75" customHeight="1">
      <c r="A751" s="5" t="s">
        <v>1430</v>
      </c>
      <c r="B751" s="6" t="s">
        <v>1431</v>
      </c>
      <c r="C751" s="6">
        <f t="shared" si="1"/>
        <v>5902</v>
      </c>
      <c r="D751" s="6">
        <f t="shared" si="46"/>
        <v>170</v>
      </c>
      <c r="E751" s="7">
        <v>0.0</v>
      </c>
      <c r="F751" s="8"/>
      <c r="G751" s="6">
        <f t="shared" si="3"/>
        <v>2647</v>
      </c>
      <c r="H751" s="6">
        <f t="shared" si="4"/>
        <v>17412</v>
      </c>
      <c r="I751" s="6">
        <f t="shared" si="5"/>
        <v>21894</v>
      </c>
      <c r="J751" s="6">
        <f t="shared" si="6"/>
        <v>74540</v>
      </c>
      <c r="K751" s="9"/>
      <c r="L751" s="9"/>
      <c r="M751" s="9"/>
      <c r="N751" s="9">
        <f t="shared" si="7"/>
        <v>12.62961708</v>
      </c>
      <c r="O751" s="10">
        <f t="shared" si="8"/>
        <v>66.8908198</v>
      </c>
      <c r="P751" s="9">
        <v>20.0</v>
      </c>
      <c r="Q751" s="11" t="str">
        <f t="shared" si="9"/>
        <v>cobertura correcta</v>
      </c>
      <c r="R751" s="12"/>
      <c r="S751" s="8"/>
      <c r="T751" s="12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5.75" customHeight="1">
      <c r="A752" s="5" t="s">
        <v>1432</v>
      </c>
      <c r="B752" s="6" t="s">
        <v>1433</v>
      </c>
      <c r="C752" s="6">
        <f t="shared" si="1"/>
        <v>6212</v>
      </c>
      <c r="D752" s="6">
        <f t="shared" si="46"/>
        <v>33</v>
      </c>
      <c r="E752" s="7">
        <v>0.0</v>
      </c>
      <c r="F752" s="8"/>
      <c r="G752" s="6">
        <f t="shared" si="3"/>
        <v>8634</v>
      </c>
      <c r="H752" s="6">
        <f t="shared" si="4"/>
        <v>12229</v>
      </c>
      <c r="I752" s="6">
        <f t="shared" si="5"/>
        <v>24344</v>
      </c>
      <c r="J752" s="6">
        <f t="shared" si="6"/>
        <v>35035</v>
      </c>
      <c r="K752" s="9"/>
      <c r="L752" s="9"/>
      <c r="M752" s="9"/>
      <c r="N752" s="9">
        <f t="shared" si="7"/>
        <v>5.639890534</v>
      </c>
      <c r="O752" s="10">
        <f t="shared" si="8"/>
        <v>21.58443363</v>
      </c>
      <c r="P752" s="9">
        <v>20.0</v>
      </c>
      <c r="Q752" s="11" t="str">
        <f t="shared" si="9"/>
        <v>cobertura correcta</v>
      </c>
      <c r="R752" s="12"/>
      <c r="S752" s="8"/>
      <c r="T752" s="12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5.75" customHeight="1">
      <c r="A753" s="5" t="s">
        <v>1434</v>
      </c>
      <c r="B753" s="6" t="s">
        <v>1435</v>
      </c>
      <c r="C753" s="6">
        <f t="shared" si="1"/>
        <v>1789</v>
      </c>
      <c r="D753" s="6">
        <f t="shared" si="46"/>
        <v>199</v>
      </c>
      <c r="E753" s="7">
        <v>0.0</v>
      </c>
      <c r="F753" s="8"/>
      <c r="G753" s="6">
        <f t="shared" si="3"/>
        <v>7390</v>
      </c>
      <c r="H753" s="6">
        <f t="shared" si="4"/>
        <v>10774</v>
      </c>
      <c r="I753" s="6">
        <f t="shared" si="5"/>
        <v>24088</v>
      </c>
      <c r="J753" s="6">
        <f t="shared" si="6"/>
        <v>70079</v>
      </c>
      <c r="K753" s="9"/>
      <c r="L753" s="9"/>
      <c r="M753" s="9"/>
      <c r="N753" s="9">
        <f t="shared" si="7"/>
        <v>39.17216322</v>
      </c>
      <c r="O753" s="10">
        <f t="shared" si="8"/>
        <v>7.262516915</v>
      </c>
      <c r="P753" s="9">
        <v>20.0</v>
      </c>
      <c r="Q753" s="11" t="str">
        <f t="shared" si="9"/>
        <v>¡Compra YA!</v>
      </c>
      <c r="R753" s="12"/>
      <c r="S753" s="8"/>
      <c r="T753" s="12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5.75" customHeight="1">
      <c r="A754" s="5" t="s">
        <v>1436</v>
      </c>
      <c r="B754" s="6" t="s">
        <v>1437</v>
      </c>
      <c r="C754" s="6">
        <f t="shared" si="1"/>
        <v>8314</v>
      </c>
      <c r="D754" s="6">
        <f t="shared" si="46"/>
        <v>170</v>
      </c>
      <c r="E754" s="7">
        <v>0.0</v>
      </c>
      <c r="F754" s="8"/>
      <c r="G754" s="6">
        <f t="shared" si="3"/>
        <v>8465</v>
      </c>
      <c r="H754" s="6">
        <f t="shared" si="4"/>
        <v>17191</v>
      </c>
      <c r="I754" s="6">
        <f t="shared" si="5"/>
        <v>19532</v>
      </c>
      <c r="J754" s="6">
        <f t="shared" si="6"/>
        <v>32199</v>
      </c>
      <c r="K754" s="9"/>
      <c r="L754" s="9"/>
      <c r="M754" s="9"/>
      <c r="N754" s="9">
        <f t="shared" si="7"/>
        <v>3.872865047</v>
      </c>
      <c r="O754" s="10">
        <f t="shared" si="8"/>
        <v>29.46485529</v>
      </c>
      <c r="P754" s="9">
        <v>20.0</v>
      </c>
      <c r="Q754" s="11" t="str">
        <f t="shared" si="9"/>
        <v>cobertura correcta</v>
      </c>
      <c r="R754" s="12"/>
      <c r="S754" s="8"/>
      <c r="T754" s="12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5.75" customHeight="1">
      <c r="A755" s="5" t="s">
        <v>1438</v>
      </c>
      <c r="B755" s="6" t="s">
        <v>1439</v>
      </c>
      <c r="C755" s="6">
        <f t="shared" si="1"/>
        <v>1580</v>
      </c>
      <c r="D755" s="6">
        <f t="shared" si="46"/>
        <v>190</v>
      </c>
      <c r="E755" s="7">
        <v>0.0</v>
      </c>
      <c r="F755" s="8"/>
      <c r="G755" s="6">
        <f t="shared" si="3"/>
        <v>5064</v>
      </c>
      <c r="H755" s="6">
        <f t="shared" si="4"/>
        <v>18091</v>
      </c>
      <c r="I755" s="6">
        <f t="shared" si="5"/>
        <v>26391</v>
      </c>
      <c r="J755" s="6">
        <f t="shared" si="6"/>
        <v>43667</v>
      </c>
      <c r="K755" s="9"/>
      <c r="L755" s="9"/>
      <c r="M755" s="9"/>
      <c r="N755" s="9">
        <f t="shared" si="7"/>
        <v>27.63734177</v>
      </c>
      <c r="O755" s="10">
        <f t="shared" si="8"/>
        <v>9.360189573</v>
      </c>
      <c r="P755" s="9">
        <v>20.0</v>
      </c>
      <c r="Q755" s="11" t="str">
        <f t="shared" si="9"/>
        <v>¡Compra YA!</v>
      </c>
      <c r="R755" s="12"/>
      <c r="S755" s="8"/>
      <c r="T755" s="12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5.75" customHeight="1">
      <c r="A756" s="5" t="s">
        <v>1440</v>
      </c>
      <c r="B756" s="6" t="s">
        <v>1441</v>
      </c>
      <c r="C756" s="6">
        <f t="shared" si="1"/>
        <v>8083</v>
      </c>
      <c r="D756" s="6">
        <f t="shared" si="46"/>
        <v>185</v>
      </c>
      <c r="E756" s="7">
        <v>0.0</v>
      </c>
      <c r="F756" s="8"/>
      <c r="G756" s="6">
        <f t="shared" si="3"/>
        <v>8683</v>
      </c>
      <c r="H756" s="6">
        <f t="shared" si="4"/>
        <v>10764</v>
      </c>
      <c r="I756" s="6">
        <f t="shared" si="5"/>
        <v>21183</v>
      </c>
      <c r="J756" s="6">
        <f t="shared" si="6"/>
        <v>44476</v>
      </c>
      <c r="K756" s="9"/>
      <c r="L756" s="9"/>
      <c r="M756" s="9"/>
      <c r="N756" s="9">
        <f t="shared" si="7"/>
        <v>5.502412471</v>
      </c>
      <c r="O756" s="10">
        <f t="shared" si="8"/>
        <v>27.92698376</v>
      </c>
      <c r="P756" s="9">
        <v>20.0</v>
      </c>
      <c r="Q756" s="11" t="str">
        <f t="shared" si="9"/>
        <v>cobertura correcta</v>
      </c>
      <c r="R756" s="12"/>
      <c r="S756" s="8"/>
      <c r="T756" s="12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5.75" customHeight="1">
      <c r="A757" s="5" t="s">
        <v>1442</v>
      </c>
      <c r="B757" s="6" t="s">
        <v>1443</v>
      </c>
      <c r="C757" s="6">
        <f t="shared" si="1"/>
        <v>1651</v>
      </c>
      <c r="D757" s="6">
        <f t="shared" si="46"/>
        <v>142</v>
      </c>
      <c r="E757" s="7">
        <v>0.0</v>
      </c>
      <c r="F757" s="8"/>
      <c r="G757" s="6">
        <f t="shared" si="3"/>
        <v>2913</v>
      </c>
      <c r="H757" s="6">
        <f t="shared" si="4"/>
        <v>15945</v>
      </c>
      <c r="I757" s="6">
        <f t="shared" si="5"/>
        <v>24874</v>
      </c>
      <c r="J757" s="6">
        <f t="shared" si="6"/>
        <v>76743</v>
      </c>
      <c r="K757" s="9"/>
      <c r="L757" s="9"/>
      <c r="M757" s="9"/>
      <c r="N757" s="9">
        <f t="shared" si="7"/>
        <v>46.48273773</v>
      </c>
      <c r="O757" s="10">
        <f t="shared" si="8"/>
        <v>17.0030896</v>
      </c>
      <c r="P757" s="9">
        <v>20.0</v>
      </c>
      <c r="Q757" s="11" t="str">
        <f t="shared" si="9"/>
        <v>¡Compra YA!</v>
      </c>
      <c r="R757" s="12"/>
      <c r="S757" s="8"/>
      <c r="T757" s="12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5.75" customHeight="1">
      <c r="A758" s="5" t="s">
        <v>1444</v>
      </c>
      <c r="B758" s="6" t="s">
        <v>1445</v>
      </c>
      <c r="C758" s="6">
        <f t="shared" si="1"/>
        <v>7937</v>
      </c>
      <c r="D758" s="6">
        <f t="shared" si="46"/>
        <v>81</v>
      </c>
      <c r="E758" s="7">
        <v>0.0</v>
      </c>
      <c r="F758" s="8"/>
      <c r="G758" s="6">
        <f t="shared" si="3"/>
        <v>6734</v>
      </c>
      <c r="H758" s="6">
        <f t="shared" si="4"/>
        <v>12986</v>
      </c>
      <c r="I758" s="6">
        <f t="shared" si="5"/>
        <v>25128</v>
      </c>
      <c r="J758" s="6">
        <f t="shared" si="6"/>
        <v>91199</v>
      </c>
      <c r="K758" s="9"/>
      <c r="L758" s="9"/>
      <c r="M758" s="9"/>
      <c r="N758" s="9">
        <f t="shared" si="7"/>
        <v>11.4903616</v>
      </c>
      <c r="O758" s="10">
        <f t="shared" si="8"/>
        <v>35.35937036</v>
      </c>
      <c r="P758" s="9">
        <v>20.0</v>
      </c>
      <c r="Q758" s="11" t="str">
        <f t="shared" si="9"/>
        <v>cobertura correcta</v>
      </c>
      <c r="R758" s="12"/>
      <c r="S758" s="8"/>
      <c r="T758" s="12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5.75" customHeight="1">
      <c r="A759" s="5" t="s">
        <v>1446</v>
      </c>
      <c r="B759" s="6" t="s">
        <v>1447</v>
      </c>
      <c r="C759" s="6">
        <f t="shared" si="1"/>
        <v>4761</v>
      </c>
      <c r="D759" s="6">
        <f t="shared" si="46"/>
        <v>195</v>
      </c>
      <c r="E759" s="7">
        <v>0.0</v>
      </c>
      <c r="F759" s="8"/>
      <c r="G759" s="6">
        <f t="shared" si="3"/>
        <v>2294</v>
      </c>
      <c r="H759" s="6">
        <f t="shared" si="4"/>
        <v>9418</v>
      </c>
      <c r="I759" s="6">
        <f t="shared" si="5"/>
        <v>28996</v>
      </c>
      <c r="J759" s="6">
        <f t="shared" si="6"/>
        <v>57592</v>
      </c>
      <c r="K759" s="9"/>
      <c r="L759" s="9"/>
      <c r="M759" s="9"/>
      <c r="N759" s="9">
        <f t="shared" si="7"/>
        <v>12.09661836</v>
      </c>
      <c r="O759" s="10">
        <f t="shared" si="8"/>
        <v>62.26242371</v>
      </c>
      <c r="P759" s="9">
        <v>20.0</v>
      </c>
      <c r="Q759" s="11" t="str">
        <f t="shared" si="9"/>
        <v>cobertura correcta</v>
      </c>
      <c r="R759" s="12"/>
      <c r="S759" s="8"/>
      <c r="T759" s="12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5.75" customHeight="1">
      <c r="A760" s="5" t="s">
        <v>1448</v>
      </c>
      <c r="B760" s="6" t="s">
        <v>1449</v>
      </c>
      <c r="C760" s="6">
        <f t="shared" si="1"/>
        <v>5640</v>
      </c>
      <c r="D760" s="6">
        <f t="shared" si="46"/>
        <v>23</v>
      </c>
      <c r="E760" s="7">
        <v>0.0</v>
      </c>
      <c r="F760" s="8"/>
      <c r="G760" s="6">
        <f t="shared" si="3"/>
        <v>8229</v>
      </c>
      <c r="H760" s="6">
        <f t="shared" si="4"/>
        <v>16211</v>
      </c>
      <c r="I760" s="6">
        <f t="shared" si="5"/>
        <v>23964</v>
      </c>
      <c r="J760" s="6">
        <f t="shared" si="6"/>
        <v>56653</v>
      </c>
      <c r="K760" s="9"/>
      <c r="L760" s="9"/>
      <c r="M760" s="9"/>
      <c r="N760" s="9">
        <f t="shared" si="7"/>
        <v>10.04485816</v>
      </c>
      <c r="O760" s="10">
        <f t="shared" si="8"/>
        <v>20.56142909</v>
      </c>
      <c r="P760" s="9">
        <v>20.0</v>
      </c>
      <c r="Q760" s="11" t="str">
        <f t="shared" si="9"/>
        <v>cobertura correcta</v>
      </c>
      <c r="R760" s="12"/>
      <c r="S760" s="8"/>
      <c r="T760" s="12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5.75" customHeight="1">
      <c r="A761" s="5" t="s">
        <v>1450</v>
      </c>
      <c r="B761" s="6" t="s">
        <v>1451</v>
      </c>
      <c r="C761" s="6">
        <f t="shared" si="1"/>
        <v>4635</v>
      </c>
      <c r="D761" s="6">
        <f t="shared" si="46"/>
        <v>132</v>
      </c>
      <c r="E761" s="7">
        <v>0.0</v>
      </c>
      <c r="F761" s="8"/>
      <c r="G761" s="6">
        <f t="shared" si="3"/>
        <v>3380</v>
      </c>
      <c r="H761" s="6">
        <f t="shared" si="4"/>
        <v>11655</v>
      </c>
      <c r="I761" s="6">
        <f t="shared" si="5"/>
        <v>27948</v>
      </c>
      <c r="J761" s="6">
        <f t="shared" si="6"/>
        <v>66353</v>
      </c>
      <c r="K761" s="9"/>
      <c r="L761" s="9"/>
      <c r="M761" s="9"/>
      <c r="N761" s="9">
        <f t="shared" si="7"/>
        <v>14.31564186</v>
      </c>
      <c r="O761" s="10">
        <f t="shared" si="8"/>
        <v>41.13905325</v>
      </c>
      <c r="P761" s="9">
        <v>20.0</v>
      </c>
      <c r="Q761" s="11" t="str">
        <f t="shared" si="9"/>
        <v>cobertura correcta</v>
      </c>
      <c r="R761" s="12"/>
      <c r="S761" s="8"/>
      <c r="T761" s="12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5.75" customHeight="1">
      <c r="A762" s="5" t="s">
        <v>1452</v>
      </c>
      <c r="B762" s="6" t="s">
        <v>1453</v>
      </c>
      <c r="C762" s="6">
        <f t="shared" si="1"/>
        <v>8363</v>
      </c>
      <c r="D762" s="6">
        <f t="shared" si="46"/>
        <v>21</v>
      </c>
      <c r="E762" s="7">
        <v>0.0</v>
      </c>
      <c r="F762" s="8"/>
      <c r="G762" s="6">
        <f t="shared" si="3"/>
        <v>6084</v>
      </c>
      <c r="H762" s="6">
        <f t="shared" si="4"/>
        <v>16994</v>
      </c>
      <c r="I762" s="6">
        <f t="shared" si="5"/>
        <v>21855</v>
      </c>
      <c r="J762" s="6">
        <f t="shared" si="6"/>
        <v>84289</v>
      </c>
      <c r="K762" s="9"/>
      <c r="L762" s="9"/>
      <c r="M762" s="9"/>
      <c r="N762" s="9">
        <f t="shared" si="7"/>
        <v>10.07879947</v>
      </c>
      <c r="O762" s="10">
        <f t="shared" si="8"/>
        <v>41.23767258</v>
      </c>
      <c r="P762" s="9">
        <v>20.0</v>
      </c>
      <c r="Q762" s="11" t="str">
        <f t="shared" si="9"/>
        <v>cobertura correcta</v>
      </c>
      <c r="R762" s="12"/>
      <c r="S762" s="8"/>
      <c r="T762" s="12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5.75" customHeight="1">
      <c r="A763" s="5" t="s">
        <v>1454</v>
      </c>
      <c r="B763" s="6" t="s">
        <v>1455</v>
      </c>
      <c r="C763" s="6">
        <f t="shared" si="1"/>
        <v>1783</v>
      </c>
      <c r="D763" s="6">
        <f t="shared" si="46"/>
        <v>152</v>
      </c>
      <c r="E763" s="7">
        <v>0.0</v>
      </c>
      <c r="F763" s="8"/>
      <c r="G763" s="6">
        <f t="shared" si="3"/>
        <v>4767</v>
      </c>
      <c r="H763" s="6">
        <f t="shared" si="4"/>
        <v>13586</v>
      </c>
      <c r="I763" s="6">
        <f t="shared" si="5"/>
        <v>21511</v>
      </c>
      <c r="J763" s="6">
        <f t="shared" si="6"/>
        <v>39280</v>
      </c>
      <c r="K763" s="9"/>
      <c r="L763" s="9"/>
      <c r="M763" s="9"/>
      <c r="N763" s="9">
        <f t="shared" si="7"/>
        <v>22.03028603</v>
      </c>
      <c r="O763" s="10">
        <f t="shared" si="8"/>
        <v>11.22089364</v>
      </c>
      <c r="P763" s="9">
        <v>20.0</v>
      </c>
      <c r="Q763" s="11" t="str">
        <f t="shared" si="9"/>
        <v>¡Compra YA!</v>
      </c>
      <c r="R763" s="12"/>
      <c r="S763" s="8"/>
      <c r="T763" s="12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5.75" customHeight="1">
      <c r="A764" s="5" t="s">
        <v>1456</v>
      </c>
      <c r="B764" s="6" t="s">
        <v>1457</v>
      </c>
      <c r="C764" s="6">
        <f t="shared" si="1"/>
        <v>5125</v>
      </c>
      <c r="D764" s="6">
        <f t="shared" si="46"/>
        <v>68</v>
      </c>
      <c r="E764" s="7">
        <v>0.0</v>
      </c>
      <c r="F764" s="8"/>
      <c r="G764" s="6">
        <f t="shared" si="3"/>
        <v>6680</v>
      </c>
      <c r="H764" s="6">
        <f t="shared" si="4"/>
        <v>11272</v>
      </c>
      <c r="I764" s="6">
        <f t="shared" si="5"/>
        <v>24383</v>
      </c>
      <c r="J764" s="6">
        <f t="shared" si="6"/>
        <v>91292</v>
      </c>
      <c r="K764" s="9"/>
      <c r="L764" s="9"/>
      <c r="M764" s="9"/>
      <c r="N764" s="9">
        <f t="shared" si="7"/>
        <v>17.81307317</v>
      </c>
      <c r="O764" s="10">
        <f t="shared" si="8"/>
        <v>23.01646707</v>
      </c>
      <c r="P764" s="9">
        <v>20.0</v>
      </c>
      <c r="Q764" s="11" t="str">
        <f t="shared" si="9"/>
        <v>cobertura correcta</v>
      </c>
      <c r="R764" s="12"/>
      <c r="S764" s="8"/>
      <c r="T764" s="12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5.75" customHeight="1">
      <c r="A765" s="5" t="s">
        <v>1458</v>
      </c>
      <c r="B765" s="6" t="s">
        <v>1459</v>
      </c>
      <c r="C765" s="6">
        <f t="shared" si="1"/>
        <v>2601</v>
      </c>
      <c r="D765" s="6">
        <f t="shared" si="46"/>
        <v>143</v>
      </c>
      <c r="E765" s="7">
        <v>0.0</v>
      </c>
      <c r="F765" s="8"/>
      <c r="G765" s="6">
        <f t="shared" si="3"/>
        <v>1603</v>
      </c>
      <c r="H765" s="6">
        <f t="shared" si="4"/>
        <v>14719</v>
      </c>
      <c r="I765" s="6">
        <f t="shared" si="5"/>
        <v>20203</v>
      </c>
      <c r="J765" s="6">
        <f t="shared" si="6"/>
        <v>40698</v>
      </c>
      <c r="K765" s="9"/>
      <c r="L765" s="9"/>
      <c r="M765" s="9"/>
      <c r="N765" s="9">
        <f t="shared" si="7"/>
        <v>15.64705882</v>
      </c>
      <c r="O765" s="10">
        <f t="shared" si="8"/>
        <v>48.67747973</v>
      </c>
      <c r="P765" s="9">
        <v>20.0</v>
      </c>
      <c r="Q765" s="11" t="str">
        <f t="shared" si="9"/>
        <v>cobertura correcta</v>
      </c>
      <c r="R765" s="12"/>
      <c r="S765" s="8"/>
      <c r="T765" s="12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5.75" customHeight="1">
      <c r="A766" s="5" t="s">
        <v>1460</v>
      </c>
      <c r="B766" s="6" t="s">
        <v>1461</v>
      </c>
      <c r="C766" s="6">
        <f t="shared" si="1"/>
        <v>2762</v>
      </c>
      <c r="D766" s="6">
        <f t="shared" si="46"/>
        <v>20</v>
      </c>
      <c r="E766" s="7">
        <v>0.0</v>
      </c>
      <c r="F766" s="8"/>
      <c r="G766" s="6">
        <f t="shared" si="3"/>
        <v>6514</v>
      </c>
      <c r="H766" s="6">
        <f t="shared" si="4"/>
        <v>12174</v>
      </c>
      <c r="I766" s="6">
        <f t="shared" si="5"/>
        <v>22643</v>
      </c>
      <c r="J766" s="6">
        <f t="shared" si="6"/>
        <v>33409</v>
      </c>
      <c r="K766" s="9"/>
      <c r="L766" s="9"/>
      <c r="M766" s="9"/>
      <c r="N766" s="9">
        <f t="shared" si="7"/>
        <v>12.09594497</v>
      </c>
      <c r="O766" s="10">
        <f t="shared" si="8"/>
        <v>12.72029475</v>
      </c>
      <c r="P766" s="9">
        <v>20.0</v>
      </c>
      <c r="Q766" s="11" t="str">
        <f t="shared" si="9"/>
        <v>¡Compra YA!</v>
      </c>
      <c r="R766" s="12"/>
      <c r="S766" s="8"/>
      <c r="T766" s="12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5.75" customHeight="1">
      <c r="A767" s="5" t="s">
        <v>1462</v>
      </c>
      <c r="B767" s="6" t="s">
        <v>1463</v>
      </c>
      <c r="C767" s="6">
        <f t="shared" si="1"/>
        <v>3255</v>
      </c>
      <c r="D767" s="6">
        <f t="shared" si="46"/>
        <v>59</v>
      </c>
      <c r="E767" s="7">
        <v>0.0</v>
      </c>
      <c r="F767" s="8"/>
      <c r="G767" s="6">
        <f t="shared" si="3"/>
        <v>5458</v>
      </c>
      <c r="H767" s="6">
        <f t="shared" si="4"/>
        <v>16229</v>
      </c>
      <c r="I767" s="6">
        <f t="shared" si="5"/>
        <v>27632</v>
      </c>
      <c r="J767" s="6">
        <f t="shared" si="6"/>
        <v>95364</v>
      </c>
      <c r="K767" s="9"/>
      <c r="L767" s="9"/>
      <c r="M767" s="9"/>
      <c r="N767" s="9">
        <f t="shared" si="7"/>
        <v>29.29769585</v>
      </c>
      <c r="O767" s="10">
        <f t="shared" si="8"/>
        <v>17.89116893</v>
      </c>
      <c r="P767" s="9">
        <v>20.0</v>
      </c>
      <c r="Q767" s="11" t="str">
        <f t="shared" si="9"/>
        <v>¡Compra YA!</v>
      </c>
      <c r="R767" s="12"/>
      <c r="S767" s="8"/>
      <c r="T767" s="12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5.75" customHeight="1">
      <c r="A768" s="5" t="s">
        <v>1464</v>
      </c>
      <c r="B768" s="6" t="s">
        <v>1465</v>
      </c>
      <c r="C768" s="6">
        <f t="shared" si="1"/>
        <v>4539</v>
      </c>
      <c r="D768" s="6">
        <f t="shared" si="46"/>
        <v>15</v>
      </c>
      <c r="E768" s="7">
        <v>0.0</v>
      </c>
      <c r="F768" s="8"/>
      <c r="G768" s="6">
        <f t="shared" si="3"/>
        <v>3487</v>
      </c>
      <c r="H768" s="6">
        <f t="shared" si="4"/>
        <v>16708</v>
      </c>
      <c r="I768" s="6">
        <f t="shared" si="5"/>
        <v>24626</v>
      </c>
      <c r="J768" s="6">
        <f t="shared" si="6"/>
        <v>94944</v>
      </c>
      <c r="K768" s="9"/>
      <c r="L768" s="9"/>
      <c r="M768" s="9"/>
      <c r="N768" s="9">
        <f t="shared" si="7"/>
        <v>20.91738268</v>
      </c>
      <c r="O768" s="10">
        <f t="shared" si="8"/>
        <v>39.05075997</v>
      </c>
      <c r="P768" s="9">
        <v>20.0</v>
      </c>
      <c r="Q768" s="11" t="str">
        <f t="shared" si="9"/>
        <v>cobertura correcta</v>
      </c>
      <c r="R768" s="12"/>
      <c r="S768" s="8"/>
      <c r="T768" s="12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5.75" customHeight="1">
      <c r="A769" s="5" t="s">
        <v>1466</v>
      </c>
      <c r="B769" s="6" t="s">
        <v>1467</v>
      </c>
      <c r="C769" s="6">
        <f t="shared" si="1"/>
        <v>4241</v>
      </c>
      <c r="D769" s="6">
        <f t="shared" si="46"/>
        <v>154</v>
      </c>
      <c r="E769" s="7">
        <v>0.0</v>
      </c>
      <c r="F769" s="8"/>
      <c r="G769" s="6">
        <f t="shared" si="3"/>
        <v>5112</v>
      </c>
      <c r="H769" s="6">
        <f t="shared" si="4"/>
        <v>12943</v>
      </c>
      <c r="I769" s="6">
        <f t="shared" si="5"/>
        <v>20345</v>
      </c>
      <c r="J769" s="6">
        <f t="shared" si="6"/>
        <v>75185</v>
      </c>
      <c r="K769" s="9"/>
      <c r="L769" s="9"/>
      <c r="M769" s="9"/>
      <c r="N769" s="9">
        <f t="shared" si="7"/>
        <v>17.72813016</v>
      </c>
      <c r="O769" s="10">
        <f t="shared" si="8"/>
        <v>24.88849765</v>
      </c>
      <c r="P769" s="9">
        <v>20.0</v>
      </c>
      <c r="Q769" s="11" t="str">
        <f t="shared" si="9"/>
        <v>cobertura correcta</v>
      </c>
      <c r="R769" s="12"/>
      <c r="S769" s="8"/>
      <c r="T769" s="12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5.75" customHeight="1">
      <c r="A770" s="5" t="s">
        <v>1468</v>
      </c>
      <c r="B770" s="6" t="s">
        <v>1469</v>
      </c>
      <c r="C770" s="6">
        <f t="shared" si="1"/>
        <v>7573</v>
      </c>
      <c r="D770" s="6">
        <f t="shared" si="46"/>
        <v>83</v>
      </c>
      <c r="E770" s="7">
        <v>0.0</v>
      </c>
      <c r="F770" s="8"/>
      <c r="G770" s="6">
        <f t="shared" si="3"/>
        <v>2067</v>
      </c>
      <c r="H770" s="6">
        <f t="shared" si="4"/>
        <v>16641</v>
      </c>
      <c r="I770" s="6">
        <f t="shared" si="5"/>
        <v>21818</v>
      </c>
      <c r="J770" s="6">
        <f t="shared" si="6"/>
        <v>71755</v>
      </c>
      <c r="K770" s="9"/>
      <c r="L770" s="9"/>
      <c r="M770" s="9"/>
      <c r="N770" s="9">
        <f t="shared" si="7"/>
        <v>9.47510894</v>
      </c>
      <c r="O770" s="10">
        <f t="shared" si="8"/>
        <v>109.9129173</v>
      </c>
      <c r="P770" s="9">
        <v>20.0</v>
      </c>
      <c r="Q770" s="11" t="str">
        <f t="shared" si="9"/>
        <v>cobertura correcta</v>
      </c>
      <c r="R770" s="12"/>
      <c r="S770" s="8"/>
      <c r="T770" s="12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5.75" customHeight="1">
      <c r="A771" s="5" t="s">
        <v>1470</v>
      </c>
      <c r="B771" s="6" t="s">
        <v>1471</v>
      </c>
      <c r="C771" s="6">
        <f t="shared" si="1"/>
        <v>1319</v>
      </c>
      <c r="D771" s="6">
        <f t="shared" si="46"/>
        <v>82</v>
      </c>
      <c r="E771" s="7">
        <v>0.0</v>
      </c>
      <c r="F771" s="8"/>
      <c r="G771" s="6">
        <f t="shared" si="3"/>
        <v>1985</v>
      </c>
      <c r="H771" s="6">
        <f t="shared" si="4"/>
        <v>11890</v>
      </c>
      <c r="I771" s="6">
        <f t="shared" si="5"/>
        <v>28844</v>
      </c>
      <c r="J771" s="6">
        <f t="shared" si="6"/>
        <v>68712</v>
      </c>
      <c r="K771" s="9"/>
      <c r="L771" s="9"/>
      <c r="M771" s="9"/>
      <c r="N771" s="9">
        <f t="shared" si="7"/>
        <v>52.09401061</v>
      </c>
      <c r="O771" s="10">
        <f t="shared" si="8"/>
        <v>19.93450882</v>
      </c>
      <c r="P771" s="9">
        <v>20.0</v>
      </c>
      <c r="Q771" s="11" t="str">
        <f t="shared" si="9"/>
        <v>¡Compra YA!</v>
      </c>
      <c r="R771" s="12"/>
      <c r="S771" s="8"/>
      <c r="T771" s="12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5.75" customHeight="1">
      <c r="A772" s="5" t="s">
        <v>1472</v>
      </c>
      <c r="B772" s="6" t="s">
        <v>1473</v>
      </c>
      <c r="C772" s="6">
        <f t="shared" si="1"/>
        <v>8335</v>
      </c>
      <c r="D772" s="6">
        <f t="shared" si="46"/>
        <v>28</v>
      </c>
      <c r="E772" s="7">
        <v>0.0</v>
      </c>
      <c r="F772" s="8"/>
      <c r="G772" s="6">
        <f t="shared" si="3"/>
        <v>1616</v>
      </c>
      <c r="H772" s="6">
        <f t="shared" si="4"/>
        <v>14089</v>
      </c>
      <c r="I772" s="6">
        <f t="shared" si="5"/>
        <v>25601</v>
      </c>
      <c r="J772" s="6">
        <f t="shared" si="6"/>
        <v>68413</v>
      </c>
      <c r="K772" s="9"/>
      <c r="L772" s="9"/>
      <c r="M772" s="9"/>
      <c r="N772" s="9">
        <f t="shared" si="7"/>
        <v>8.207918416</v>
      </c>
      <c r="O772" s="10">
        <f t="shared" si="8"/>
        <v>154.7339109</v>
      </c>
      <c r="P772" s="9">
        <v>20.0</v>
      </c>
      <c r="Q772" s="11" t="str">
        <f t="shared" si="9"/>
        <v>cobertura correcta</v>
      </c>
      <c r="R772" s="12"/>
      <c r="S772" s="8"/>
      <c r="T772" s="12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5.75" customHeight="1">
      <c r="A773" s="5" t="s">
        <v>1474</v>
      </c>
      <c r="B773" s="6" t="s">
        <v>1475</v>
      </c>
      <c r="C773" s="6">
        <f t="shared" si="1"/>
        <v>5616</v>
      </c>
      <c r="D773" s="6">
        <f t="shared" si="46"/>
        <v>65</v>
      </c>
      <c r="E773" s="7">
        <v>0.0</v>
      </c>
      <c r="F773" s="8"/>
      <c r="G773" s="6">
        <f t="shared" si="3"/>
        <v>7930</v>
      </c>
      <c r="H773" s="6">
        <f t="shared" si="4"/>
        <v>12270</v>
      </c>
      <c r="I773" s="6">
        <f t="shared" si="5"/>
        <v>25284</v>
      </c>
      <c r="J773" s="6">
        <f t="shared" si="6"/>
        <v>80168</v>
      </c>
      <c r="K773" s="9"/>
      <c r="L773" s="9"/>
      <c r="M773" s="9"/>
      <c r="N773" s="9">
        <f t="shared" si="7"/>
        <v>14.27492877</v>
      </c>
      <c r="O773" s="10">
        <f t="shared" si="8"/>
        <v>21.24590164</v>
      </c>
      <c r="P773" s="9">
        <v>20.0</v>
      </c>
      <c r="Q773" s="11" t="str">
        <f t="shared" si="9"/>
        <v>cobertura correcta</v>
      </c>
      <c r="R773" s="12"/>
      <c r="S773" s="8"/>
      <c r="T773" s="12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5.75" customHeight="1">
      <c r="A774" s="5" t="s">
        <v>1476</v>
      </c>
      <c r="B774" s="6" t="s">
        <v>1477</v>
      </c>
      <c r="C774" s="6">
        <f t="shared" si="1"/>
        <v>4096</v>
      </c>
      <c r="D774" s="6">
        <f t="shared" si="46"/>
        <v>195</v>
      </c>
      <c r="E774" s="7">
        <v>0.0</v>
      </c>
      <c r="F774" s="8"/>
      <c r="G774" s="6">
        <f t="shared" si="3"/>
        <v>5953</v>
      </c>
      <c r="H774" s="6">
        <f t="shared" si="4"/>
        <v>18416</v>
      </c>
      <c r="I774" s="6">
        <f t="shared" si="5"/>
        <v>23935</v>
      </c>
      <c r="J774" s="6">
        <f t="shared" si="6"/>
        <v>49737</v>
      </c>
      <c r="K774" s="9"/>
      <c r="L774" s="9"/>
      <c r="M774" s="9"/>
      <c r="N774" s="9">
        <f t="shared" si="7"/>
        <v>12.14282227</v>
      </c>
      <c r="O774" s="10">
        <f t="shared" si="8"/>
        <v>20.64169326</v>
      </c>
      <c r="P774" s="9">
        <v>20.0</v>
      </c>
      <c r="Q774" s="11" t="str">
        <f t="shared" si="9"/>
        <v>cobertura correcta</v>
      </c>
      <c r="R774" s="12"/>
      <c r="S774" s="8"/>
      <c r="T774" s="12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5.75" customHeight="1">
      <c r="A775" s="5" t="s">
        <v>1478</v>
      </c>
      <c r="B775" s="6" t="s">
        <v>1479</v>
      </c>
      <c r="C775" s="6">
        <f t="shared" si="1"/>
        <v>1702</v>
      </c>
      <c r="D775" s="6">
        <f t="shared" si="46"/>
        <v>93</v>
      </c>
      <c r="E775" s="7">
        <v>0.0</v>
      </c>
      <c r="F775" s="8"/>
      <c r="G775" s="6">
        <f t="shared" si="3"/>
        <v>4260</v>
      </c>
      <c r="H775" s="6">
        <f t="shared" si="4"/>
        <v>17223</v>
      </c>
      <c r="I775" s="6">
        <f t="shared" si="5"/>
        <v>24704</v>
      </c>
      <c r="J775" s="6">
        <f t="shared" si="6"/>
        <v>39235</v>
      </c>
      <c r="K775" s="9"/>
      <c r="L775" s="9"/>
      <c r="M775" s="9"/>
      <c r="N775" s="9">
        <f t="shared" si="7"/>
        <v>23.05229142</v>
      </c>
      <c r="O775" s="10">
        <f t="shared" si="8"/>
        <v>11.98591549</v>
      </c>
      <c r="P775" s="9">
        <v>20.0</v>
      </c>
      <c r="Q775" s="11" t="str">
        <f t="shared" si="9"/>
        <v>¡Compra YA!</v>
      </c>
      <c r="R775" s="12"/>
      <c r="S775" s="8"/>
      <c r="T775" s="12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5.75" customHeight="1">
      <c r="A776" s="5" t="s">
        <v>1480</v>
      </c>
      <c r="B776" s="6" t="s">
        <v>1481</v>
      </c>
      <c r="C776" s="6">
        <f t="shared" si="1"/>
        <v>6544</v>
      </c>
      <c r="D776" s="6">
        <f t="shared" si="46"/>
        <v>194</v>
      </c>
      <c r="E776" s="7">
        <v>0.0</v>
      </c>
      <c r="F776" s="8"/>
      <c r="G776" s="6">
        <f t="shared" si="3"/>
        <v>5489</v>
      </c>
      <c r="H776" s="6">
        <f t="shared" si="4"/>
        <v>15952</v>
      </c>
      <c r="I776" s="6">
        <f t="shared" si="5"/>
        <v>21269</v>
      </c>
      <c r="J776" s="6">
        <f t="shared" si="6"/>
        <v>78003</v>
      </c>
      <c r="K776" s="9"/>
      <c r="L776" s="9"/>
      <c r="M776" s="9"/>
      <c r="N776" s="9">
        <f t="shared" si="7"/>
        <v>11.91977384</v>
      </c>
      <c r="O776" s="10">
        <f t="shared" si="8"/>
        <v>35.76607761</v>
      </c>
      <c r="P776" s="9">
        <v>20.0</v>
      </c>
      <c r="Q776" s="11" t="str">
        <f t="shared" si="9"/>
        <v>cobertura correcta</v>
      </c>
      <c r="R776" s="12"/>
      <c r="S776" s="8"/>
      <c r="T776" s="12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5.75" customHeight="1">
      <c r="A777" s="5" t="s">
        <v>1482</v>
      </c>
      <c r="B777" s="6" t="s">
        <v>1483</v>
      </c>
      <c r="C777" s="6">
        <f t="shared" si="1"/>
        <v>2672</v>
      </c>
      <c r="D777" s="6">
        <f t="shared" si="46"/>
        <v>118</v>
      </c>
      <c r="E777" s="7">
        <v>0.0</v>
      </c>
      <c r="F777" s="8"/>
      <c r="G777" s="6">
        <f t="shared" si="3"/>
        <v>1155</v>
      </c>
      <c r="H777" s="6">
        <f t="shared" si="4"/>
        <v>18518</v>
      </c>
      <c r="I777" s="6">
        <f t="shared" si="5"/>
        <v>23807</v>
      </c>
      <c r="J777" s="6">
        <f t="shared" si="6"/>
        <v>54953</v>
      </c>
      <c r="K777" s="9"/>
      <c r="L777" s="9"/>
      <c r="M777" s="9"/>
      <c r="N777" s="9">
        <f t="shared" si="7"/>
        <v>20.56624251</v>
      </c>
      <c r="O777" s="10">
        <f t="shared" si="8"/>
        <v>69.4025974</v>
      </c>
      <c r="P777" s="9">
        <v>20.0</v>
      </c>
      <c r="Q777" s="11" t="str">
        <f t="shared" si="9"/>
        <v>cobertura correcta</v>
      </c>
      <c r="R777" s="12"/>
      <c r="S777" s="8"/>
      <c r="T777" s="12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5.75" customHeight="1">
      <c r="A778" s="5" t="s">
        <v>1484</v>
      </c>
      <c r="B778" s="6" t="s">
        <v>1485</v>
      </c>
      <c r="C778" s="6">
        <f t="shared" si="1"/>
        <v>6620</v>
      </c>
      <c r="D778" s="6">
        <f t="shared" si="46"/>
        <v>53</v>
      </c>
      <c r="E778" s="7">
        <v>0.0</v>
      </c>
      <c r="F778" s="8"/>
      <c r="G778" s="6">
        <f t="shared" si="3"/>
        <v>2186</v>
      </c>
      <c r="H778" s="6">
        <f t="shared" si="4"/>
        <v>11723</v>
      </c>
      <c r="I778" s="6">
        <f t="shared" si="5"/>
        <v>22691</v>
      </c>
      <c r="J778" s="6">
        <f t="shared" si="6"/>
        <v>43823</v>
      </c>
      <c r="K778" s="9"/>
      <c r="L778" s="9"/>
      <c r="M778" s="9"/>
      <c r="N778" s="9">
        <f t="shared" si="7"/>
        <v>6.61978852</v>
      </c>
      <c r="O778" s="10">
        <f t="shared" si="8"/>
        <v>90.85086917</v>
      </c>
      <c r="P778" s="9">
        <v>20.0</v>
      </c>
      <c r="Q778" s="11" t="str">
        <f t="shared" si="9"/>
        <v>cobertura correcta</v>
      </c>
      <c r="R778" s="12"/>
      <c r="S778" s="8"/>
      <c r="T778" s="12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5.75" customHeight="1">
      <c r="A779" s="5" t="s">
        <v>1486</v>
      </c>
      <c r="B779" s="6" t="s">
        <v>1487</v>
      </c>
      <c r="C779" s="6">
        <f t="shared" si="1"/>
        <v>4413</v>
      </c>
      <c r="D779" s="6">
        <f t="shared" si="46"/>
        <v>79</v>
      </c>
      <c r="E779" s="7">
        <v>0.0</v>
      </c>
      <c r="F779" s="8"/>
      <c r="G779" s="6">
        <f t="shared" si="3"/>
        <v>2904</v>
      </c>
      <c r="H779" s="6">
        <f t="shared" si="4"/>
        <v>15103</v>
      </c>
      <c r="I779" s="6">
        <f t="shared" si="5"/>
        <v>24511</v>
      </c>
      <c r="J779" s="6">
        <f t="shared" si="6"/>
        <v>75080</v>
      </c>
      <c r="K779" s="9"/>
      <c r="L779" s="9"/>
      <c r="M779" s="9"/>
      <c r="N779" s="9">
        <f t="shared" si="7"/>
        <v>17.01336959</v>
      </c>
      <c r="O779" s="10">
        <f t="shared" si="8"/>
        <v>45.58884298</v>
      </c>
      <c r="P779" s="9">
        <v>20.0</v>
      </c>
      <c r="Q779" s="11" t="str">
        <f t="shared" si="9"/>
        <v>cobertura correcta</v>
      </c>
      <c r="R779" s="12"/>
      <c r="S779" s="8"/>
      <c r="T779" s="12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5.75" customHeight="1">
      <c r="A780" s="5" t="s">
        <v>1488</v>
      </c>
      <c r="B780" s="6" t="s">
        <v>1489</v>
      </c>
      <c r="C780" s="6">
        <f t="shared" si="1"/>
        <v>2406</v>
      </c>
      <c r="D780" s="6">
        <f t="shared" si="46"/>
        <v>65</v>
      </c>
      <c r="E780" s="7">
        <v>0.0</v>
      </c>
      <c r="F780" s="8"/>
      <c r="G780" s="6">
        <f t="shared" si="3"/>
        <v>6987</v>
      </c>
      <c r="H780" s="6">
        <f t="shared" si="4"/>
        <v>14699</v>
      </c>
      <c r="I780" s="6">
        <f t="shared" si="5"/>
        <v>20821</v>
      </c>
      <c r="J780" s="6">
        <f t="shared" si="6"/>
        <v>90663</v>
      </c>
      <c r="K780" s="9"/>
      <c r="L780" s="9"/>
      <c r="M780" s="9"/>
      <c r="N780" s="9">
        <f t="shared" si="7"/>
        <v>37.68204489</v>
      </c>
      <c r="O780" s="10">
        <f t="shared" si="8"/>
        <v>10.330614</v>
      </c>
      <c r="P780" s="9">
        <v>20.0</v>
      </c>
      <c r="Q780" s="11" t="str">
        <f t="shared" si="9"/>
        <v>¡Compra YA!</v>
      </c>
      <c r="R780" s="12"/>
      <c r="S780" s="8"/>
      <c r="T780" s="12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5.75" customHeight="1">
      <c r="A781" s="5" t="s">
        <v>1490</v>
      </c>
      <c r="B781" s="6" t="s">
        <v>1491</v>
      </c>
      <c r="C781" s="6">
        <f t="shared" si="1"/>
        <v>7958</v>
      </c>
      <c r="D781" s="6">
        <f t="shared" si="46"/>
        <v>194</v>
      </c>
      <c r="E781" s="7">
        <v>0.0</v>
      </c>
      <c r="F781" s="8"/>
      <c r="G781" s="6">
        <f t="shared" si="3"/>
        <v>8173</v>
      </c>
      <c r="H781" s="6">
        <f t="shared" si="4"/>
        <v>18817</v>
      </c>
      <c r="I781" s="6">
        <f t="shared" si="5"/>
        <v>24070</v>
      </c>
      <c r="J781" s="6">
        <f t="shared" si="6"/>
        <v>38617</v>
      </c>
      <c r="K781" s="9"/>
      <c r="L781" s="9"/>
      <c r="M781" s="9"/>
      <c r="N781" s="9">
        <f t="shared" si="7"/>
        <v>4.852601156</v>
      </c>
      <c r="O781" s="10">
        <f t="shared" si="8"/>
        <v>29.2108161</v>
      </c>
      <c r="P781" s="9">
        <v>20.0</v>
      </c>
      <c r="Q781" s="11" t="str">
        <f t="shared" si="9"/>
        <v>cobertura correcta</v>
      </c>
      <c r="R781" s="12"/>
      <c r="S781" s="8"/>
      <c r="T781" s="12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5.75" customHeight="1">
      <c r="A782" s="5" t="s">
        <v>1492</v>
      </c>
      <c r="B782" s="6" t="s">
        <v>1493</v>
      </c>
      <c r="C782" s="6">
        <f t="shared" si="1"/>
        <v>8571</v>
      </c>
      <c r="D782" s="6">
        <f t="shared" si="46"/>
        <v>30</v>
      </c>
      <c r="E782" s="7">
        <v>0.0</v>
      </c>
      <c r="F782" s="8"/>
      <c r="G782" s="6">
        <f t="shared" si="3"/>
        <v>5751</v>
      </c>
      <c r="H782" s="6">
        <f t="shared" si="4"/>
        <v>18127</v>
      </c>
      <c r="I782" s="6">
        <f t="shared" si="5"/>
        <v>21607</v>
      </c>
      <c r="J782" s="6">
        <f t="shared" si="6"/>
        <v>42425</v>
      </c>
      <c r="K782" s="9"/>
      <c r="L782" s="9"/>
      <c r="M782" s="9"/>
      <c r="N782" s="9">
        <f t="shared" si="7"/>
        <v>4.949830825</v>
      </c>
      <c r="O782" s="10">
        <f t="shared" si="8"/>
        <v>44.71048513</v>
      </c>
      <c r="P782" s="9">
        <v>20.0</v>
      </c>
      <c r="Q782" s="11" t="str">
        <f t="shared" si="9"/>
        <v>cobertura correcta</v>
      </c>
      <c r="R782" s="12"/>
      <c r="S782" s="8"/>
      <c r="T782" s="12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5.75" customHeight="1">
      <c r="A783" s="5" t="s">
        <v>1494</v>
      </c>
      <c r="B783" s="6" t="s">
        <v>1495</v>
      </c>
      <c r="C783" s="6">
        <f t="shared" si="1"/>
        <v>1032</v>
      </c>
      <c r="D783" s="6">
        <f t="shared" si="46"/>
        <v>99</v>
      </c>
      <c r="E783" s="7">
        <v>0.0</v>
      </c>
      <c r="F783" s="8"/>
      <c r="G783" s="6">
        <f t="shared" si="3"/>
        <v>3684</v>
      </c>
      <c r="H783" s="6">
        <f t="shared" si="4"/>
        <v>10793</v>
      </c>
      <c r="I783" s="6">
        <f t="shared" si="5"/>
        <v>23795</v>
      </c>
      <c r="J783" s="6">
        <f t="shared" si="6"/>
        <v>78062</v>
      </c>
      <c r="K783" s="9"/>
      <c r="L783" s="9"/>
      <c r="M783" s="9"/>
      <c r="N783" s="9">
        <f t="shared" si="7"/>
        <v>75.64147287</v>
      </c>
      <c r="O783" s="10">
        <f t="shared" si="8"/>
        <v>8.403908795</v>
      </c>
      <c r="P783" s="9">
        <v>20.0</v>
      </c>
      <c r="Q783" s="11" t="str">
        <f t="shared" si="9"/>
        <v>¡Compra YA!</v>
      </c>
      <c r="R783" s="12"/>
      <c r="S783" s="8"/>
      <c r="T783" s="12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5.75" customHeight="1">
      <c r="A784" s="5" t="s">
        <v>1496</v>
      </c>
      <c r="B784" s="6" t="s">
        <v>1497</v>
      </c>
      <c r="C784" s="6">
        <f t="shared" si="1"/>
        <v>5253</v>
      </c>
      <c r="D784" s="6">
        <f t="shared" si="46"/>
        <v>67</v>
      </c>
      <c r="E784" s="7">
        <v>0.0</v>
      </c>
      <c r="F784" s="8"/>
      <c r="G784" s="6">
        <f t="shared" si="3"/>
        <v>3248</v>
      </c>
      <c r="H784" s="6">
        <f t="shared" si="4"/>
        <v>10255</v>
      </c>
      <c r="I784" s="6">
        <f t="shared" si="5"/>
        <v>23205</v>
      </c>
      <c r="J784" s="6">
        <f t="shared" si="6"/>
        <v>63455</v>
      </c>
      <c r="K784" s="9"/>
      <c r="L784" s="9"/>
      <c r="M784" s="9"/>
      <c r="N784" s="9">
        <f t="shared" si="7"/>
        <v>12.07976394</v>
      </c>
      <c r="O784" s="10">
        <f t="shared" si="8"/>
        <v>48.51908867</v>
      </c>
      <c r="P784" s="9">
        <v>20.0</v>
      </c>
      <c r="Q784" s="11" t="str">
        <f t="shared" si="9"/>
        <v>cobertura correcta</v>
      </c>
      <c r="R784" s="12"/>
      <c r="S784" s="8"/>
      <c r="T784" s="12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5.75" customHeight="1">
      <c r="A785" s="5" t="s">
        <v>1498</v>
      </c>
      <c r="B785" s="6" t="s">
        <v>1499</v>
      </c>
      <c r="C785" s="6">
        <f t="shared" si="1"/>
        <v>3545</v>
      </c>
      <c r="D785" s="6">
        <f t="shared" si="46"/>
        <v>20</v>
      </c>
      <c r="E785" s="7">
        <v>0.0</v>
      </c>
      <c r="F785" s="8"/>
      <c r="G785" s="6">
        <f t="shared" si="3"/>
        <v>2958</v>
      </c>
      <c r="H785" s="6">
        <f t="shared" si="4"/>
        <v>10296</v>
      </c>
      <c r="I785" s="6">
        <f t="shared" si="5"/>
        <v>28765</v>
      </c>
      <c r="J785" s="6">
        <f t="shared" si="6"/>
        <v>82664</v>
      </c>
      <c r="K785" s="9"/>
      <c r="L785" s="9"/>
      <c r="M785" s="9"/>
      <c r="N785" s="9">
        <f t="shared" si="7"/>
        <v>23.31847673</v>
      </c>
      <c r="O785" s="10">
        <f t="shared" si="8"/>
        <v>35.95334686</v>
      </c>
      <c r="P785" s="9">
        <v>20.0</v>
      </c>
      <c r="Q785" s="11" t="str">
        <f t="shared" si="9"/>
        <v>cobertura correcta</v>
      </c>
      <c r="R785" s="12"/>
      <c r="S785" s="8"/>
      <c r="T785" s="12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5.75" customHeight="1">
      <c r="A786" s="5" t="s">
        <v>1500</v>
      </c>
      <c r="B786" s="6" t="s">
        <v>1501</v>
      </c>
      <c r="C786" s="6">
        <f t="shared" si="1"/>
        <v>7481</v>
      </c>
      <c r="D786" s="6">
        <f t="shared" si="46"/>
        <v>173</v>
      </c>
      <c r="E786" s="7">
        <v>0.0</v>
      </c>
      <c r="F786" s="8"/>
      <c r="G786" s="6">
        <f t="shared" si="3"/>
        <v>7007</v>
      </c>
      <c r="H786" s="6">
        <f t="shared" si="4"/>
        <v>10217</v>
      </c>
      <c r="I786" s="6">
        <f t="shared" si="5"/>
        <v>22964</v>
      </c>
      <c r="J786" s="6">
        <f t="shared" si="6"/>
        <v>81346</v>
      </c>
      <c r="K786" s="9"/>
      <c r="L786" s="9"/>
      <c r="M786" s="9"/>
      <c r="N786" s="9">
        <f t="shared" si="7"/>
        <v>10.87367999</v>
      </c>
      <c r="O786" s="10">
        <f t="shared" si="8"/>
        <v>32.02939917</v>
      </c>
      <c r="P786" s="9">
        <v>20.0</v>
      </c>
      <c r="Q786" s="11" t="str">
        <f t="shared" si="9"/>
        <v>cobertura correcta</v>
      </c>
      <c r="R786" s="12"/>
      <c r="S786" s="8"/>
      <c r="T786" s="12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5.75" customHeight="1">
      <c r="A787" s="5" t="s">
        <v>1502</v>
      </c>
      <c r="B787" s="6" t="s">
        <v>1503</v>
      </c>
      <c r="C787" s="6">
        <f t="shared" si="1"/>
        <v>3915</v>
      </c>
      <c r="D787" s="6">
        <f t="shared" si="46"/>
        <v>170</v>
      </c>
      <c r="E787" s="7">
        <v>0.0</v>
      </c>
      <c r="F787" s="8"/>
      <c r="G787" s="6">
        <f t="shared" si="3"/>
        <v>2513</v>
      </c>
      <c r="H787" s="6">
        <f t="shared" si="4"/>
        <v>10793</v>
      </c>
      <c r="I787" s="6">
        <f t="shared" si="5"/>
        <v>19598</v>
      </c>
      <c r="J787" s="6">
        <f t="shared" si="6"/>
        <v>74774</v>
      </c>
      <c r="K787" s="9"/>
      <c r="L787" s="9"/>
      <c r="M787" s="9"/>
      <c r="N787" s="9">
        <f t="shared" si="7"/>
        <v>19.09936143</v>
      </c>
      <c r="O787" s="10">
        <f t="shared" si="8"/>
        <v>46.73696777</v>
      </c>
      <c r="P787" s="9">
        <v>20.0</v>
      </c>
      <c r="Q787" s="11" t="str">
        <f t="shared" si="9"/>
        <v>cobertura correcta</v>
      </c>
      <c r="R787" s="12"/>
      <c r="S787" s="8"/>
      <c r="T787" s="12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5.75" customHeight="1">
      <c r="A788" s="5" t="s">
        <v>1504</v>
      </c>
      <c r="B788" s="6" t="s">
        <v>1505</v>
      </c>
      <c r="C788" s="6">
        <f t="shared" si="1"/>
        <v>5284</v>
      </c>
      <c r="D788" s="6">
        <f t="shared" si="46"/>
        <v>154</v>
      </c>
      <c r="E788" s="7">
        <v>0.0</v>
      </c>
      <c r="F788" s="8"/>
      <c r="G788" s="6">
        <f t="shared" si="3"/>
        <v>5289</v>
      </c>
      <c r="H788" s="6">
        <f t="shared" si="4"/>
        <v>9174</v>
      </c>
      <c r="I788" s="6">
        <f t="shared" si="5"/>
        <v>27898</v>
      </c>
      <c r="J788" s="6">
        <f t="shared" si="6"/>
        <v>81546</v>
      </c>
      <c r="K788" s="9"/>
      <c r="L788" s="9"/>
      <c r="M788" s="9"/>
      <c r="N788" s="9">
        <f t="shared" si="7"/>
        <v>15.4326268</v>
      </c>
      <c r="O788" s="10">
        <f t="shared" si="8"/>
        <v>29.97163925</v>
      </c>
      <c r="P788" s="9">
        <v>20.0</v>
      </c>
      <c r="Q788" s="11" t="str">
        <f t="shared" si="9"/>
        <v>cobertura correcta</v>
      </c>
      <c r="R788" s="12"/>
      <c r="S788" s="8"/>
      <c r="T788" s="12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5.75" customHeight="1">
      <c r="A789" s="5" t="s">
        <v>1506</v>
      </c>
      <c r="B789" s="6" t="s">
        <v>1507</v>
      </c>
      <c r="C789" s="6">
        <f t="shared" si="1"/>
        <v>1099</v>
      </c>
      <c r="D789" s="6">
        <f t="shared" si="46"/>
        <v>50</v>
      </c>
      <c r="E789" s="7">
        <v>0.0</v>
      </c>
      <c r="F789" s="8"/>
      <c r="G789" s="6">
        <f t="shared" si="3"/>
        <v>5929</v>
      </c>
      <c r="H789" s="6">
        <f t="shared" si="4"/>
        <v>12610</v>
      </c>
      <c r="I789" s="6">
        <f t="shared" si="5"/>
        <v>28058</v>
      </c>
      <c r="J789" s="6">
        <f t="shared" si="6"/>
        <v>92369</v>
      </c>
      <c r="K789" s="9"/>
      <c r="L789" s="9"/>
      <c r="M789" s="9"/>
      <c r="N789" s="9">
        <f t="shared" si="7"/>
        <v>84.04822566</v>
      </c>
      <c r="O789" s="10">
        <f t="shared" si="8"/>
        <v>5.560802834</v>
      </c>
      <c r="P789" s="9">
        <v>20.0</v>
      </c>
      <c r="Q789" s="11" t="str">
        <f t="shared" si="9"/>
        <v>¡Compra YA!</v>
      </c>
      <c r="R789" s="12"/>
      <c r="S789" s="8"/>
      <c r="T789" s="12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5.75" customHeight="1">
      <c r="A790" s="5" t="s">
        <v>1508</v>
      </c>
      <c r="B790" s="6" t="s">
        <v>1509</v>
      </c>
      <c r="C790" s="6">
        <f t="shared" si="1"/>
        <v>6111</v>
      </c>
      <c r="D790" s="6">
        <f t="shared" si="46"/>
        <v>133</v>
      </c>
      <c r="E790" s="7">
        <v>0.0</v>
      </c>
      <c r="F790" s="8"/>
      <c r="G790" s="6">
        <f t="shared" si="3"/>
        <v>7059</v>
      </c>
      <c r="H790" s="6">
        <f t="shared" si="4"/>
        <v>9066</v>
      </c>
      <c r="I790" s="6">
        <f t="shared" si="5"/>
        <v>27899</v>
      </c>
      <c r="J790" s="6">
        <f t="shared" si="6"/>
        <v>88039</v>
      </c>
      <c r="K790" s="9"/>
      <c r="L790" s="9"/>
      <c r="M790" s="9"/>
      <c r="N790" s="9">
        <f t="shared" si="7"/>
        <v>14.40664376</v>
      </c>
      <c r="O790" s="10">
        <f t="shared" si="8"/>
        <v>25.97110072</v>
      </c>
      <c r="P790" s="9">
        <v>20.0</v>
      </c>
      <c r="Q790" s="11" t="str">
        <f t="shared" si="9"/>
        <v>cobertura correcta</v>
      </c>
      <c r="R790" s="12"/>
      <c r="S790" s="8"/>
      <c r="T790" s="12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5.75" customHeight="1">
      <c r="A791" s="5" t="s">
        <v>1510</v>
      </c>
      <c r="B791" s="6" t="s">
        <v>1511</v>
      </c>
      <c r="C791" s="6">
        <f t="shared" si="1"/>
        <v>7215</v>
      </c>
      <c r="D791" s="6">
        <f t="shared" si="46"/>
        <v>90</v>
      </c>
      <c r="E791" s="7">
        <v>0.0</v>
      </c>
      <c r="F791" s="8"/>
      <c r="G791" s="6">
        <f t="shared" si="3"/>
        <v>8094</v>
      </c>
      <c r="H791" s="6">
        <f t="shared" si="4"/>
        <v>16051</v>
      </c>
      <c r="I791" s="6">
        <f t="shared" si="5"/>
        <v>23093</v>
      </c>
      <c r="J791" s="6">
        <f t="shared" si="6"/>
        <v>88374</v>
      </c>
      <c r="K791" s="9"/>
      <c r="L791" s="9"/>
      <c r="M791" s="9"/>
      <c r="N791" s="9">
        <f t="shared" si="7"/>
        <v>12.24864865</v>
      </c>
      <c r="O791" s="10">
        <f t="shared" si="8"/>
        <v>26.74203113</v>
      </c>
      <c r="P791" s="9">
        <v>20.0</v>
      </c>
      <c r="Q791" s="11" t="str">
        <f t="shared" si="9"/>
        <v>cobertura correcta</v>
      </c>
      <c r="R791" s="12"/>
      <c r="S791" s="8"/>
      <c r="T791" s="12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5.75" customHeight="1">
      <c r="A792" s="5" t="s">
        <v>1512</v>
      </c>
      <c r="B792" s="6" t="s">
        <v>1513</v>
      </c>
      <c r="C792" s="6">
        <f t="shared" si="1"/>
        <v>2072</v>
      </c>
      <c r="D792" s="6">
        <f t="shared" si="46"/>
        <v>65</v>
      </c>
      <c r="E792" s="7">
        <v>0.0</v>
      </c>
      <c r="F792" s="8"/>
      <c r="G792" s="6">
        <f t="shared" si="3"/>
        <v>1133</v>
      </c>
      <c r="H792" s="6">
        <f t="shared" si="4"/>
        <v>14665</v>
      </c>
      <c r="I792" s="6">
        <f t="shared" si="5"/>
        <v>21679</v>
      </c>
      <c r="J792" s="6">
        <f t="shared" si="6"/>
        <v>46113</v>
      </c>
      <c r="K792" s="9"/>
      <c r="L792" s="9"/>
      <c r="M792" s="9"/>
      <c r="N792" s="9">
        <f t="shared" si="7"/>
        <v>22.25530888</v>
      </c>
      <c r="O792" s="10">
        <f t="shared" si="8"/>
        <v>54.86319506</v>
      </c>
      <c r="P792" s="9">
        <v>20.0</v>
      </c>
      <c r="Q792" s="11" t="str">
        <f t="shared" si="9"/>
        <v>cobertura correcta</v>
      </c>
      <c r="R792" s="12"/>
      <c r="S792" s="8"/>
      <c r="T792" s="12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5.75" customHeight="1">
      <c r="A793" s="5" t="s">
        <v>1514</v>
      </c>
      <c r="B793" s="6" t="s">
        <v>1515</v>
      </c>
      <c r="C793" s="6">
        <f t="shared" si="1"/>
        <v>8279</v>
      </c>
      <c r="D793" s="6">
        <f t="shared" si="46"/>
        <v>158</v>
      </c>
      <c r="E793" s="7">
        <v>0.0</v>
      </c>
      <c r="F793" s="8"/>
      <c r="G793" s="6">
        <f t="shared" si="3"/>
        <v>2860</v>
      </c>
      <c r="H793" s="6">
        <f t="shared" si="4"/>
        <v>16496</v>
      </c>
      <c r="I793" s="6">
        <f t="shared" si="5"/>
        <v>25802</v>
      </c>
      <c r="J793" s="6">
        <f t="shared" si="6"/>
        <v>36431</v>
      </c>
      <c r="K793" s="9"/>
      <c r="L793" s="9"/>
      <c r="M793" s="9"/>
      <c r="N793" s="9">
        <f t="shared" si="7"/>
        <v>4.400410678</v>
      </c>
      <c r="O793" s="10">
        <f t="shared" si="8"/>
        <v>86.84265734</v>
      </c>
      <c r="P793" s="9">
        <v>20.0</v>
      </c>
      <c r="Q793" s="11" t="str">
        <f t="shared" si="9"/>
        <v>cobertura correcta</v>
      </c>
      <c r="R793" s="12"/>
      <c r="S793" s="8"/>
      <c r="T793" s="12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5.75" customHeight="1">
      <c r="A794" s="5" t="s">
        <v>1516</v>
      </c>
      <c r="B794" s="6" t="s">
        <v>1517</v>
      </c>
      <c r="C794" s="6">
        <f t="shared" si="1"/>
        <v>6844</v>
      </c>
      <c r="D794" s="6">
        <f t="shared" si="46"/>
        <v>93</v>
      </c>
      <c r="E794" s="7">
        <v>0.0</v>
      </c>
      <c r="F794" s="8"/>
      <c r="G794" s="6">
        <f t="shared" si="3"/>
        <v>3004</v>
      </c>
      <c r="H794" s="6">
        <f t="shared" si="4"/>
        <v>9191</v>
      </c>
      <c r="I794" s="6">
        <f t="shared" si="5"/>
        <v>28446</v>
      </c>
      <c r="J794" s="6">
        <f t="shared" si="6"/>
        <v>69119</v>
      </c>
      <c r="K794" s="9"/>
      <c r="L794" s="9"/>
      <c r="M794" s="9"/>
      <c r="N794" s="9">
        <f t="shared" si="7"/>
        <v>10.09921099</v>
      </c>
      <c r="O794" s="10">
        <f t="shared" si="8"/>
        <v>68.34886818</v>
      </c>
      <c r="P794" s="9">
        <v>20.0</v>
      </c>
      <c r="Q794" s="11" t="str">
        <f t="shared" si="9"/>
        <v>cobertura correcta</v>
      </c>
      <c r="R794" s="12"/>
      <c r="S794" s="8"/>
      <c r="T794" s="12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5.75" customHeight="1">
      <c r="A795" s="5" t="s">
        <v>1518</v>
      </c>
      <c r="B795" s="6" t="s">
        <v>1519</v>
      </c>
      <c r="C795" s="6">
        <f t="shared" si="1"/>
        <v>1486</v>
      </c>
      <c r="D795" s="6">
        <f t="shared" si="46"/>
        <v>51</v>
      </c>
      <c r="E795" s="7">
        <v>0.0</v>
      </c>
      <c r="F795" s="8"/>
      <c r="G795" s="6">
        <f t="shared" si="3"/>
        <v>3071</v>
      </c>
      <c r="H795" s="6">
        <f t="shared" si="4"/>
        <v>13885</v>
      </c>
      <c r="I795" s="6">
        <f t="shared" si="5"/>
        <v>26717</v>
      </c>
      <c r="J795" s="6">
        <f t="shared" si="6"/>
        <v>75510</v>
      </c>
      <c r="K795" s="9"/>
      <c r="L795" s="9"/>
      <c r="M795" s="9"/>
      <c r="N795" s="9">
        <f t="shared" si="7"/>
        <v>50.81426649</v>
      </c>
      <c r="O795" s="10">
        <f t="shared" si="8"/>
        <v>14.51644415</v>
      </c>
      <c r="P795" s="9">
        <v>20.0</v>
      </c>
      <c r="Q795" s="11" t="str">
        <f t="shared" si="9"/>
        <v>¡Compra YA!</v>
      </c>
      <c r="R795" s="12"/>
      <c r="S795" s="8"/>
      <c r="T795" s="12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5.75" customHeight="1">
      <c r="A796" s="5" t="s">
        <v>1520</v>
      </c>
      <c r="B796" s="6" t="s">
        <v>1521</v>
      </c>
      <c r="C796" s="6">
        <f t="shared" si="1"/>
        <v>1023</v>
      </c>
      <c r="D796" s="6">
        <f t="shared" si="46"/>
        <v>11</v>
      </c>
      <c r="E796" s="7">
        <v>0.0</v>
      </c>
      <c r="F796" s="8"/>
      <c r="G796" s="6">
        <f t="shared" si="3"/>
        <v>2954</v>
      </c>
      <c r="H796" s="6">
        <f t="shared" si="4"/>
        <v>17857</v>
      </c>
      <c r="I796" s="6">
        <f t="shared" si="5"/>
        <v>23664</v>
      </c>
      <c r="J796" s="6">
        <f t="shared" si="6"/>
        <v>74275</v>
      </c>
      <c r="K796" s="9"/>
      <c r="L796" s="9"/>
      <c r="M796" s="9"/>
      <c r="N796" s="9">
        <f t="shared" si="7"/>
        <v>72.60508309</v>
      </c>
      <c r="O796" s="10">
        <f t="shared" si="8"/>
        <v>10.38930264</v>
      </c>
      <c r="P796" s="9">
        <v>20.0</v>
      </c>
      <c r="Q796" s="11" t="str">
        <f t="shared" si="9"/>
        <v>¡Compra YA!</v>
      </c>
      <c r="R796" s="12"/>
      <c r="S796" s="8"/>
      <c r="T796" s="12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5.75" customHeight="1">
      <c r="A797" s="5" t="s">
        <v>1522</v>
      </c>
      <c r="B797" s="6" t="s">
        <v>1523</v>
      </c>
      <c r="C797" s="6">
        <f t="shared" si="1"/>
        <v>6112</v>
      </c>
      <c r="D797" s="6">
        <f t="shared" si="46"/>
        <v>38</v>
      </c>
      <c r="E797" s="7">
        <v>0.0</v>
      </c>
      <c r="F797" s="8"/>
      <c r="G797" s="6">
        <f t="shared" si="3"/>
        <v>6895</v>
      </c>
      <c r="H797" s="6">
        <f t="shared" si="4"/>
        <v>12721</v>
      </c>
      <c r="I797" s="6">
        <f t="shared" si="5"/>
        <v>28918</v>
      </c>
      <c r="J797" s="6">
        <f t="shared" si="6"/>
        <v>78254</v>
      </c>
      <c r="K797" s="9"/>
      <c r="L797" s="9"/>
      <c r="M797" s="9"/>
      <c r="N797" s="9">
        <f t="shared" si="7"/>
        <v>12.8033377</v>
      </c>
      <c r="O797" s="10">
        <f t="shared" si="8"/>
        <v>26.59318347</v>
      </c>
      <c r="P797" s="9">
        <v>20.0</v>
      </c>
      <c r="Q797" s="11" t="str">
        <f t="shared" si="9"/>
        <v>cobertura correcta</v>
      </c>
      <c r="R797" s="12"/>
      <c r="S797" s="8"/>
      <c r="T797" s="12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5.75" customHeight="1">
      <c r="A798" s="5" t="s">
        <v>1524</v>
      </c>
      <c r="B798" s="6" t="s">
        <v>1525</v>
      </c>
      <c r="C798" s="6">
        <f t="shared" si="1"/>
        <v>7512</v>
      </c>
      <c r="D798" s="6">
        <f t="shared" si="46"/>
        <v>54</v>
      </c>
      <c r="E798" s="7">
        <v>0.0</v>
      </c>
      <c r="F798" s="8"/>
      <c r="G798" s="6">
        <f t="shared" si="3"/>
        <v>7476</v>
      </c>
      <c r="H798" s="6">
        <f t="shared" si="4"/>
        <v>16405</v>
      </c>
      <c r="I798" s="6">
        <f t="shared" si="5"/>
        <v>21866</v>
      </c>
      <c r="J798" s="6">
        <f t="shared" si="6"/>
        <v>89171</v>
      </c>
      <c r="K798" s="9"/>
      <c r="L798" s="9"/>
      <c r="M798" s="9"/>
      <c r="N798" s="9">
        <f t="shared" si="7"/>
        <v>11.87047391</v>
      </c>
      <c r="O798" s="10">
        <f t="shared" si="8"/>
        <v>30.14446228</v>
      </c>
      <c r="P798" s="9">
        <v>20.0</v>
      </c>
      <c r="Q798" s="11" t="str">
        <f t="shared" si="9"/>
        <v>cobertura correcta</v>
      </c>
      <c r="R798" s="12"/>
      <c r="S798" s="8"/>
      <c r="T798" s="12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5.75" customHeight="1">
      <c r="A799" s="5" t="s">
        <v>1526</v>
      </c>
      <c r="B799" s="6" t="s">
        <v>1527</v>
      </c>
      <c r="C799" s="6">
        <f t="shared" si="1"/>
        <v>2744</v>
      </c>
      <c r="D799" s="6">
        <f t="shared" si="46"/>
        <v>61</v>
      </c>
      <c r="E799" s="7">
        <v>0.0</v>
      </c>
      <c r="F799" s="8"/>
      <c r="G799" s="6">
        <f t="shared" si="3"/>
        <v>5621</v>
      </c>
      <c r="H799" s="6">
        <f t="shared" si="4"/>
        <v>17115</v>
      </c>
      <c r="I799" s="6">
        <f t="shared" si="5"/>
        <v>25726</v>
      </c>
      <c r="J799" s="6">
        <f t="shared" si="6"/>
        <v>58288</v>
      </c>
      <c r="K799" s="9"/>
      <c r="L799" s="9"/>
      <c r="M799" s="9"/>
      <c r="N799" s="9">
        <f t="shared" si="7"/>
        <v>21.24198251</v>
      </c>
      <c r="O799" s="10">
        <f t="shared" si="8"/>
        <v>14.64508095</v>
      </c>
      <c r="P799" s="9">
        <v>20.0</v>
      </c>
      <c r="Q799" s="11" t="str">
        <f t="shared" si="9"/>
        <v>¡Compra YA!</v>
      </c>
      <c r="R799" s="12"/>
      <c r="S799" s="8"/>
      <c r="T799" s="12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5.75" customHeight="1">
      <c r="A800" s="5" t="s">
        <v>1528</v>
      </c>
      <c r="B800" s="6" t="s">
        <v>1529</v>
      </c>
      <c r="C800" s="6">
        <f t="shared" si="1"/>
        <v>1694</v>
      </c>
      <c r="D800" s="6">
        <f t="shared" si="46"/>
        <v>193</v>
      </c>
      <c r="E800" s="7">
        <v>0.0</v>
      </c>
      <c r="F800" s="8"/>
      <c r="G800" s="6">
        <f t="shared" si="3"/>
        <v>2843</v>
      </c>
      <c r="H800" s="6">
        <f t="shared" si="4"/>
        <v>15475</v>
      </c>
      <c r="I800" s="6">
        <f t="shared" si="5"/>
        <v>19873</v>
      </c>
      <c r="J800" s="6">
        <f t="shared" si="6"/>
        <v>87158</v>
      </c>
      <c r="K800" s="9"/>
      <c r="L800" s="9"/>
      <c r="M800" s="9"/>
      <c r="N800" s="9">
        <f t="shared" si="7"/>
        <v>51.45100354</v>
      </c>
      <c r="O800" s="10">
        <f t="shared" si="8"/>
        <v>17.87548364</v>
      </c>
      <c r="P800" s="9">
        <v>20.0</v>
      </c>
      <c r="Q800" s="11" t="str">
        <f t="shared" si="9"/>
        <v>¡Compra YA!</v>
      </c>
      <c r="R800" s="12"/>
      <c r="S800" s="8"/>
      <c r="T800" s="12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5.75" customHeight="1">
      <c r="A801" s="5" t="s">
        <v>1530</v>
      </c>
      <c r="B801" s="6" t="s">
        <v>1531</v>
      </c>
      <c r="C801" s="6">
        <f t="shared" si="1"/>
        <v>8765</v>
      </c>
      <c r="D801" s="6">
        <f t="shared" si="46"/>
        <v>124</v>
      </c>
      <c r="E801" s="7">
        <v>0.0</v>
      </c>
      <c r="F801" s="8"/>
      <c r="G801" s="6">
        <f t="shared" si="3"/>
        <v>5260</v>
      </c>
      <c r="H801" s="6">
        <f t="shared" si="4"/>
        <v>14470</v>
      </c>
      <c r="I801" s="6">
        <f t="shared" si="5"/>
        <v>23338</v>
      </c>
      <c r="J801" s="6">
        <f t="shared" si="6"/>
        <v>86783</v>
      </c>
      <c r="K801" s="9"/>
      <c r="L801" s="9"/>
      <c r="M801" s="9"/>
      <c r="N801" s="9">
        <f t="shared" si="7"/>
        <v>9.901083856</v>
      </c>
      <c r="O801" s="10">
        <f t="shared" si="8"/>
        <v>49.9904943</v>
      </c>
      <c r="P801" s="9">
        <v>20.0</v>
      </c>
      <c r="Q801" s="11" t="str">
        <f t="shared" si="9"/>
        <v>cobertura correcta</v>
      </c>
      <c r="R801" s="12"/>
      <c r="S801" s="8"/>
      <c r="T801" s="12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5.75" customHeight="1">
      <c r="A802" s="5" t="s">
        <v>1532</v>
      </c>
      <c r="B802" s="6" t="s">
        <v>1533</v>
      </c>
      <c r="C802" s="6">
        <f t="shared" si="1"/>
        <v>5097</v>
      </c>
      <c r="D802" s="7">
        <v>0.0</v>
      </c>
      <c r="E802" s="7">
        <v>0.0</v>
      </c>
      <c r="F802" s="8"/>
      <c r="G802" s="6">
        <f t="shared" si="3"/>
        <v>1604</v>
      </c>
      <c r="H802" s="6">
        <f t="shared" si="4"/>
        <v>14582</v>
      </c>
      <c r="I802" s="6">
        <f t="shared" si="5"/>
        <v>28643</v>
      </c>
      <c r="J802" s="6">
        <f t="shared" si="6"/>
        <v>80997</v>
      </c>
      <c r="K802" s="9"/>
      <c r="L802" s="9"/>
      <c r="M802" s="9"/>
      <c r="N802" s="9">
        <f t="shared" si="7"/>
        <v>15.89111242</v>
      </c>
      <c r="O802" s="10">
        <f t="shared" si="8"/>
        <v>95.33042394</v>
      </c>
      <c r="P802" s="9">
        <v>20.0</v>
      </c>
      <c r="Q802" s="11" t="str">
        <f t="shared" si="9"/>
        <v>cobertura correcta</v>
      </c>
      <c r="R802" s="12"/>
      <c r="S802" s="8"/>
      <c r="T802" s="12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5.75" customHeight="1">
      <c r="A803" s="5" t="s">
        <v>1534</v>
      </c>
      <c r="B803" s="6" t="s">
        <v>1535</v>
      </c>
      <c r="C803" s="6">
        <f t="shared" si="1"/>
        <v>1176</v>
      </c>
      <c r="D803" s="6">
        <f t="shared" ref="D803:D804" si="47">RANDBETWEEN(0, 200)</f>
        <v>55</v>
      </c>
      <c r="E803" s="7">
        <v>0.0</v>
      </c>
      <c r="F803" s="8"/>
      <c r="G803" s="6">
        <f t="shared" si="3"/>
        <v>7645</v>
      </c>
      <c r="H803" s="6">
        <f t="shared" si="4"/>
        <v>14663</v>
      </c>
      <c r="I803" s="6">
        <f t="shared" si="5"/>
        <v>20811</v>
      </c>
      <c r="J803" s="6">
        <f t="shared" si="6"/>
        <v>62531</v>
      </c>
      <c r="K803" s="9"/>
      <c r="L803" s="9"/>
      <c r="M803" s="9"/>
      <c r="N803" s="9">
        <f t="shared" si="7"/>
        <v>53.17261905</v>
      </c>
      <c r="O803" s="10">
        <f t="shared" si="8"/>
        <v>4.614780903</v>
      </c>
      <c r="P803" s="9">
        <v>20.0</v>
      </c>
      <c r="Q803" s="11" t="str">
        <f t="shared" si="9"/>
        <v>¡Compra YA!</v>
      </c>
      <c r="R803" s="12"/>
      <c r="S803" s="8"/>
      <c r="T803" s="12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5.75" customHeight="1">
      <c r="A804" s="5" t="s">
        <v>1536</v>
      </c>
      <c r="B804" s="6" t="s">
        <v>1537</v>
      </c>
      <c r="C804" s="6">
        <f t="shared" si="1"/>
        <v>2764</v>
      </c>
      <c r="D804" s="6">
        <f t="shared" si="47"/>
        <v>148</v>
      </c>
      <c r="E804" s="7">
        <v>0.0</v>
      </c>
      <c r="F804" s="8"/>
      <c r="G804" s="6">
        <f t="shared" si="3"/>
        <v>6168</v>
      </c>
      <c r="H804" s="6">
        <f t="shared" si="4"/>
        <v>18096</v>
      </c>
      <c r="I804" s="6">
        <f t="shared" si="5"/>
        <v>24213</v>
      </c>
      <c r="J804" s="6">
        <f t="shared" si="6"/>
        <v>39834</v>
      </c>
      <c r="K804" s="9"/>
      <c r="L804" s="9"/>
      <c r="M804" s="9"/>
      <c r="N804" s="9">
        <f t="shared" si="7"/>
        <v>14.41172214</v>
      </c>
      <c r="O804" s="10">
        <f t="shared" si="8"/>
        <v>13.44357977</v>
      </c>
      <c r="P804" s="9">
        <v>20.0</v>
      </c>
      <c r="Q804" s="11" t="str">
        <f t="shared" si="9"/>
        <v>¡Compra YA!</v>
      </c>
      <c r="R804" s="12"/>
      <c r="S804" s="8"/>
      <c r="T804" s="12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5.75" customHeight="1">
      <c r="A805" s="5" t="s">
        <v>1538</v>
      </c>
      <c r="B805" s="6" t="s">
        <v>1539</v>
      </c>
      <c r="C805" s="6">
        <f t="shared" si="1"/>
        <v>1022</v>
      </c>
      <c r="D805" s="7">
        <v>0.0</v>
      </c>
      <c r="E805" s="7">
        <v>0.0</v>
      </c>
      <c r="F805" s="8"/>
      <c r="G805" s="6">
        <f t="shared" si="3"/>
        <v>5274</v>
      </c>
      <c r="H805" s="6">
        <f t="shared" si="4"/>
        <v>11531</v>
      </c>
      <c r="I805" s="6">
        <f t="shared" si="5"/>
        <v>22459</v>
      </c>
      <c r="J805" s="6">
        <f t="shared" si="6"/>
        <v>70470</v>
      </c>
      <c r="K805" s="9"/>
      <c r="L805" s="9"/>
      <c r="M805" s="9"/>
      <c r="N805" s="9">
        <f t="shared" si="7"/>
        <v>68.95303327</v>
      </c>
      <c r="O805" s="10">
        <f t="shared" si="8"/>
        <v>5.813424346</v>
      </c>
      <c r="P805" s="9">
        <v>20.0</v>
      </c>
      <c r="Q805" s="11" t="str">
        <f t="shared" si="9"/>
        <v>¡Compra YA!</v>
      </c>
      <c r="R805" s="12"/>
      <c r="S805" s="8"/>
      <c r="T805" s="12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5.75" customHeight="1">
      <c r="A806" s="5" t="s">
        <v>1540</v>
      </c>
      <c r="B806" s="6" t="s">
        <v>1541</v>
      </c>
      <c r="C806" s="6">
        <f t="shared" si="1"/>
        <v>3307</v>
      </c>
      <c r="D806" s="6">
        <f t="shared" ref="D806:D807" si="48">RANDBETWEEN(0, 200)</f>
        <v>103</v>
      </c>
      <c r="E806" s="7">
        <v>0.0</v>
      </c>
      <c r="F806" s="8"/>
      <c r="G806" s="6">
        <f t="shared" si="3"/>
        <v>4531</v>
      </c>
      <c r="H806" s="6">
        <f t="shared" si="4"/>
        <v>17125</v>
      </c>
      <c r="I806" s="6">
        <f t="shared" si="5"/>
        <v>28134</v>
      </c>
      <c r="J806" s="6">
        <f t="shared" si="6"/>
        <v>77907</v>
      </c>
      <c r="K806" s="9"/>
      <c r="L806" s="9"/>
      <c r="M806" s="9"/>
      <c r="N806" s="9">
        <f t="shared" si="7"/>
        <v>23.55820986</v>
      </c>
      <c r="O806" s="10">
        <f t="shared" si="8"/>
        <v>21.89582874</v>
      </c>
      <c r="P806" s="9">
        <v>20.0</v>
      </c>
      <c r="Q806" s="11" t="str">
        <f t="shared" si="9"/>
        <v>cobertura correcta</v>
      </c>
      <c r="R806" s="12"/>
      <c r="S806" s="8"/>
      <c r="T806" s="12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5.75" customHeight="1">
      <c r="A807" s="5" t="s">
        <v>1542</v>
      </c>
      <c r="B807" s="6" t="s">
        <v>1543</v>
      </c>
      <c r="C807" s="6">
        <f t="shared" si="1"/>
        <v>8347</v>
      </c>
      <c r="D807" s="6">
        <f t="shared" si="48"/>
        <v>90</v>
      </c>
      <c r="E807" s="7">
        <v>0.0</v>
      </c>
      <c r="F807" s="8"/>
      <c r="G807" s="6">
        <f t="shared" si="3"/>
        <v>3335</v>
      </c>
      <c r="H807" s="6">
        <f t="shared" si="4"/>
        <v>15210</v>
      </c>
      <c r="I807" s="6">
        <f t="shared" si="5"/>
        <v>19288</v>
      </c>
      <c r="J807" s="6">
        <f t="shared" si="6"/>
        <v>50868</v>
      </c>
      <c r="K807" s="9"/>
      <c r="L807" s="9"/>
      <c r="M807" s="9"/>
      <c r="N807" s="9">
        <f t="shared" si="7"/>
        <v>6.094165568</v>
      </c>
      <c r="O807" s="10">
        <f t="shared" si="8"/>
        <v>75.08545727</v>
      </c>
      <c r="P807" s="9">
        <v>20.0</v>
      </c>
      <c r="Q807" s="11" t="str">
        <f t="shared" si="9"/>
        <v>cobertura correcta</v>
      </c>
      <c r="R807" s="12"/>
      <c r="S807" s="8"/>
      <c r="T807" s="12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5.75" customHeight="1">
      <c r="A808" s="5" t="s">
        <v>1544</v>
      </c>
      <c r="B808" s="6" t="s">
        <v>1545</v>
      </c>
      <c r="C808" s="6">
        <f t="shared" si="1"/>
        <v>4664</v>
      </c>
      <c r="D808" s="7">
        <v>0.0</v>
      </c>
      <c r="E808" s="7">
        <v>0.0</v>
      </c>
      <c r="F808" s="8"/>
      <c r="G808" s="6">
        <f t="shared" si="3"/>
        <v>1103</v>
      </c>
      <c r="H808" s="6">
        <f t="shared" si="4"/>
        <v>16131</v>
      </c>
      <c r="I808" s="6">
        <f t="shared" si="5"/>
        <v>24908</v>
      </c>
      <c r="J808" s="6">
        <f t="shared" si="6"/>
        <v>37757</v>
      </c>
      <c r="K808" s="9"/>
      <c r="L808" s="9"/>
      <c r="M808" s="9"/>
      <c r="N808" s="9">
        <f t="shared" si="7"/>
        <v>8.095411664</v>
      </c>
      <c r="O808" s="10">
        <f t="shared" si="8"/>
        <v>126.8540345</v>
      </c>
      <c r="P808" s="9">
        <v>20.0</v>
      </c>
      <c r="Q808" s="11" t="str">
        <f t="shared" si="9"/>
        <v>cobertura correcta</v>
      </c>
      <c r="R808" s="12"/>
      <c r="S808" s="8"/>
      <c r="T808" s="12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5.75" customHeight="1">
      <c r="A809" s="5" t="s">
        <v>1546</v>
      </c>
      <c r="B809" s="6" t="s">
        <v>1547</v>
      </c>
      <c r="C809" s="6">
        <f t="shared" si="1"/>
        <v>6102</v>
      </c>
      <c r="D809" s="6">
        <f t="shared" ref="D809:D810" si="49">RANDBETWEEN(0, 200)</f>
        <v>45</v>
      </c>
      <c r="E809" s="7">
        <v>0.0</v>
      </c>
      <c r="F809" s="8"/>
      <c r="G809" s="6">
        <f t="shared" si="3"/>
        <v>6358</v>
      </c>
      <c r="H809" s="6">
        <f t="shared" si="4"/>
        <v>16482</v>
      </c>
      <c r="I809" s="6">
        <f t="shared" si="5"/>
        <v>25647</v>
      </c>
      <c r="J809" s="6">
        <f t="shared" si="6"/>
        <v>64384</v>
      </c>
      <c r="K809" s="9"/>
      <c r="L809" s="9"/>
      <c r="M809" s="9"/>
      <c r="N809" s="9">
        <f t="shared" si="7"/>
        <v>10.55129466</v>
      </c>
      <c r="O809" s="10">
        <f t="shared" si="8"/>
        <v>28.79207298</v>
      </c>
      <c r="P809" s="9">
        <v>20.0</v>
      </c>
      <c r="Q809" s="11" t="str">
        <f t="shared" si="9"/>
        <v>cobertura correcta</v>
      </c>
      <c r="R809" s="12"/>
      <c r="S809" s="8"/>
      <c r="T809" s="12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5" t="s">
        <v>1548</v>
      </c>
      <c r="B810" s="6" t="s">
        <v>1549</v>
      </c>
      <c r="C810" s="6">
        <f t="shared" si="1"/>
        <v>8789</v>
      </c>
      <c r="D810" s="6">
        <f t="shared" si="49"/>
        <v>147</v>
      </c>
      <c r="E810" s="7">
        <v>0.0</v>
      </c>
      <c r="F810" s="8"/>
      <c r="G810" s="6">
        <f t="shared" si="3"/>
        <v>3780</v>
      </c>
      <c r="H810" s="6">
        <f t="shared" si="4"/>
        <v>17693</v>
      </c>
      <c r="I810" s="6">
        <f t="shared" si="5"/>
        <v>20115</v>
      </c>
      <c r="J810" s="6">
        <f t="shared" si="6"/>
        <v>77605</v>
      </c>
      <c r="K810" s="9"/>
      <c r="L810" s="9"/>
      <c r="M810" s="9"/>
      <c r="N810" s="9">
        <f t="shared" si="7"/>
        <v>8.829787234</v>
      </c>
      <c r="O810" s="10">
        <f t="shared" si="8"/>
        <v>69.75396825</v>
      </c>
      <c r="P810" s="9">
        <v>20.0</v>
      </c>
      <c r="Q810" s="11" t="str">
        <f t="shared" si="9"/>
        <v>cobertura correcta</v>
      </c>
      <c r="R810" s="12"/>
      <c r="S810" s="8"/>
      <c r="T810" s="12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5" t="s">
        <v>1550</v>
      </c>
      <c r="B811" s="6" t="s">
        <v>1551</v>
      </c>
      <c r="C811" s="6">
        <f t="shared" si="1"/>
        <v>8544</v>
      </c>
      <c r="D811" s="7">
        <v>0.0</v>
      </c>
      <c r="E811" s="7">
        <v>0.0</v>
      </c>
      <c r="F811" s="8"/>
      <c r="G811" s="6">
        <f t="shared" si="3"/>
        <v>6628</v>
      </c>
      <c r="H811" s="6">
        <f t="shared" si="4"/>
        <v>14365</v>
      </c>
      <c r="I811" s="6">
        <f t="shared" si="5"/>
        <v>27217</v>
      </c>
      <c r="J811" s="6">
        <f t="shared" si="6"/>
        <v>32440</v>
      </c>
      <c r="K811" s="9"/>
      <c r="L811" s="9"/>
      <c r="M811" s="9"/>
      <c r="N811" s="9">
        <f t="shared" si="7"/>
        <v>3.796816479</v>
      </c>
      <c r="O811" s="10">
        <f t="shared" si="8"/>
        <v>38.67229934</v>
      </c>
      <c r="P811" s="9">
        <v>20.0</v>
      </c>
      <c r="Q811" s="11" t="str">
        <f t="shared" si="9"/>
        <v>cobertura correcta</v>
      </c>
      <c r="R811" s="12"/>
      <c r="S811" s="8"/>
      <c r="T811" s="12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5.75" customHeight="1">
      <c r="A812" s="5" t="s">
        <v>1552</v>
      </c>
      <c r="B812" s="6" t="s">
        <v>1553</v>
      </c>
      <c r="C812" s="6">
        <f t="shared" si="1"/>
        <v>6221</v>
      </c>
      <c r="D812" s="6">
        <f>RANDBETWEEN(0, 200)</f>
        <v>75</v>
      </c>
      <c r="E812" s="7">
        <v>0.0</v>
      </c>
      <c r="F812" s="8"/>
      <c r="G812" s="6">
        <f t="shared" si="3"/>
        <v>5730</v>
      </c>
      <c r="H812" s="6">
        <f t="shared" si="4"/>
        <v>17808</v>
      </c>
      <c r="I812" s="6">
        <f t="shared" si="5"/>
        <v>24136</v>
      </c>
      <c r="J812" s="6">
        <f t="shared" si="6"/>
        <v>98770</v>
      </c>
      <c r="K812" s="9"/>
      <c r="L812" s="9"/>
      <c r="M812" s="9"/>
      <c r="N812" s="9">
        <f t="shared" si="7"/>
        <v>15.87686867</v>
      </c>
      <c r="O812" s="10">
        <f t="shared" si="8"/>
        <v>32.57068063</v>
      </c>
      <c r="P812" s="9">
        <v>20.0</v>
      </c>
      <c r="Q812" s="11" t="str">
        <f t="shared" si="9"/>
        <v>cobertura correcta</v>
      </c>
      <c r="R812" s="12"/>
      <c r="S812" s="8"/>
      <c r="T812" s="12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5.75" customHeight="1">
      <c r="A813" s="5" t="s">
        <v>1554</v>
      </c>
      <c r="B813" s="6" t="s">
        <v>1555</v>
      </c>
      <c r="C813" s="6">
        <f t="shared" si="1"/>
        <v>6839</v>
      </c>
      <c r="D813" s="7">
        <v>0.0</v>
      </c>
      <c r="E813" s="7">
        <v>0.0</v>
      </c>
      <c r="F813" s="8"/>
      <c r="G813" s="6">
        <f t="shared" si="3"/>
        <v>4197</v>
      </c>
      <c r="H813" s="6">
        <f t="shared" si="4"/>
        <v>11476</v>
      </c>
      <c r="I813" s="6">
        <f t="shared" si="5"/>
        <v>25037</v>
      </c>
      <c r="J813" s="6">
        <f t="shared" si="6"/>
        <v>37969</v>
      </c>
      <c r="K813" s="9"/>
      <c r="L813" s="9"/>
      <c r="M813" s="9"/>
      <c r="N813" s="9">
        <f t="shared" si="7"/>
        <v>5.551835064</v>
      </c>
      <c r="O813" s="10">
        <f t="shared" si="8"/>
        <v>48.8849178</v>
      </c>
      <c r="P813" s="9">
        <v>20.0</v>
      </c>
      <c r="Q813" s="11" t="str">
        <f t="shared" si="9"/>
        <v>cobertura correcta</v>
      </c>
      <c r="R813" s="12"/>
      <c r="S813" s="8"/>
      <c r="T813" s="12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5.75" customHeight="1">
      <c r="A814" s="5" t="s">
        <v>1556</v>
      </c>
      <c r="B814" s="6" t="s">
        <v>1557</v>
      </c>
      <c r="C814" s="6">
        <f t="shared" si="1"/>
        <v>4807</v>
      </c>
      <c r="D814" s="6">
        <f>RANDBETWEEN(0, 200)</f>
        <v>168</v>
      </c>
      <c r="E814" s="7">
        <v>0.0</v>
      </c>
      <c r="F814" s="8"/>
      <c r="G814" s="6">
        <f t="shared" si="3"/>
        <v>1323</v>
      </c>
      <c r="H814" s="6">
        <f t="shared" si="4"/>
        <v>12641</v>
      </c>
      <c r="I814" s="6">
        <f t="shared" si="5"/>
        <v>26140</v>
      </c>
      <c r="J814" s="6">
        <f t="shared" si="6"/>
        <v>54614</v>
      </c>
      <c r="K814" s="9"/>
      <c r="L814" s="9"/>
      <c r="M814" s="9"/>
      <c r="N814" s="9">
        <f t="shared" si="7"/>
        <v>11.36134803</v>
      </c>
      <c r="O814" s="10">
        <f t="shared" si="8"/>
        <v>109.0022676</v>
      </c>
      <c r="P814" s="9">
        <v>20.0</v>
      </c>
      <c r="Q814" s="11" t="str">
        <f t="shared" si="9"/>
        <v>cobertura correcta</v>
      </c>
      <c r="R814" s="12"/>
      <c r="S814" s="8"/>
      <c r="T814" s="12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5.75" customHeight="1">
      <c r="A815" s="5" t="s">
        <v>1558</v>
      </c>
      <c r="B815" s="6"/>
      <c r="C815" s="6">
        <f t="shared" si="1"/>
        <v>8054</v>
      </c>
      <c r="D815" s="7">
        <v>0.0</v>
      </c>
      <c r="E815" s="7">
        <v>0.0</v>
      </c>
      <c r="F815" s="8"/>
      <c r="G815" s="6">
        <f t="shared" si="3"/>
        <v>8093</v>
      </c>
      <c r="H815" s="6">
        <f t="shared" si="4"/>
        <v>16235</v>
      </c>
      <c r="I815" s="6">
        <f t="shared" si="5"/>
        <v>23809</v>
      </c>
      <c r="J815" s="6">
        <f t="shared" si="6"/>
        <v>80173</v>
      </c>
      <c r="K815" s="9"/>
      <c r="L815" s="9"/>
      <c r="M815" s="9"/>
      <c r="N815" s="9">
        <f t="shared" si="7"/>
        <v>9.95443258</v>
      </c>
      <c r="O815" s="10">
        <f t="shared" si="8"/>
        <v>29.85543062</v>
      </c>
      <c r="P815" s="9">
        <v>20.0</v>
      </c>
      <c r="Q815" s="11" t="str">
        <f t="shared" si="9"/>
        <v>cobertura correcta</v>
      </c>
      <c r="R815" s="12"/>
      <c r="S815" s="8"/>
      <c r="T815" s="12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5.75" customHeight="1">
      <c r="A816" s="5" t="s">
        <v>1559</v>
      </c>
      <c r="B816" s="6" t="s">
        <v>1560</v>
      </c>
      <c r="C816" s="6">
        <f t="shared" si="1"/>
        <v>2402</v>
      </c>
      <c r="D816" s="6">
        <f>RANDBETWEEN(0, 200)</f>
        <v>123</v>
      </c>
      <c r="E816" s="7">
        <v>0.0</v>
      </c>
      <c r="F816" s="8"/>
      <c r="G816" s="6">
        <f t="shared" si="3"/>
        <v>2239</v>
      </c>
      <c r="H816" s="6">
        <f t="shared" si="4"/>
        <v>14517</v>
      </c>
      <c r="I816" s="6">
        <f t="shared" si="5"/>
        <v>23905</v>
      </c>
      <c r="J816" s="6">
        <f t="shared" si="6"/>
        <v>37576</v>
      </c>
      <c r="K816" s="9"/>
      <c r="L816" s="9"/>
      <c r="M816" s="9"/>
      <c r="N816" s="9">
        <f t="shared" si="7"/>
        <v>15.64363031</v>
      </c>
      <c r="O816" s="10">
        <f t="shared" si="8"/>
        <v>32.18401072</v>
      </c>
      <c r="P816" s="9">
        <v>20.0</v>
      </c>
      <c r="Q816" s="11" t="str">
        <f t="shared" si="9"/>
        <v>cobertura correcta</v>
      </c>
      <c r="R816" s="12"/>
      <c r="S816" s="8"/>
      <c r="T816" s="12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5.75" customHeight="1">
      <c r="A817" s="5" t="s">
        <v>1561</v>
      </c>
      <c r="B817" s="6" t="s">
        <v>1562</v>
      </c>
      <c r="C817" s="6">
        <f t="shared" si="1"/>
        <v>7055</v>
      </c>
      <c r="D817" s="7">
        <v>0.0</v>
      </c>
      <c r="E817" s="7">
        <v>0.0</v>
      </c>
      <c r="F817" s="8"/>
      <c r="G817" s="6">
        <f t="shared" si="3"/>
        <v>7858</v>
      </c>
      <c r="H817" s="6">
        <f t="shared" si="4"/>
        <v>9205</v>
      </c>
      <c r="I817" s="6">
        <f t="shared" si="5"/>
        <v>28572</v>
      </c>
      <c r="J817" s="6">
        <f t="shared" si="6"/>
        <v>59333</v>
      </c>
      <c r="K817" s="9"/>
      <c r="L817" s="9"/>
      <c r="M817" s="9"/>
      <c r="N817" s="9">
        <f t="shared" si="7"/>
        <v>8.410063785</v>
      </c>
      <c r="O817" s="10">
        <f t="shared" si="8"/>
        <v>26.93433444</v>
      </c>
      <c r="P817" s="9">
        <v>20.0</v>
      </c>
      <c r="Q817" s="11" t="str">
        <f t="shared" si="9"/>
        <v>cobertura correcta</v>
      </c>
      <c r="R817" s="12"/>
      <c r="S817" s="8"/>
      <c r="T817" s="12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5.75" customHeight="1">
      <c r="A818" s="5" t="s">
        <v>1563</v>
      </c>
      <c r="B818" s="6" t="s">
        <v>1564</v>
      </c>
      <c r="C818" s="6">
        <f t="shared" si="1"/>
        <v>6480</v>
      </c>
      <c r="D818" s="6">
        <f>RANDBETWEEN(0, 200)</f>
        <v>103</v>
      </c>
      <c r="E818" s="7">
        <v>0.0</v>
      </c>
      <c r="F818" s="8"/>
      <c r="G818" s="6">
        <f t="shared" si="3"/>
        <v>1881</v>
      </c>
      <c r="H818" s="6">
        <f t="shared" si="4"/>
        <v>14527</v>
      </c>
      <c r="I818" s="6">
        <f t="shared" si="5"/>
        <v>21987</v>
      </c>
      <c r="J818" s="6">
        <f t="shared" si="6"/>
        <v>83957</v>
      </c>
      <c r="K818" s="9"/>
      <c r="L818" s="9"/>
      <c r="M818" s="9"/>
      <c r="N818" s="9">
        <f t="shared" si="7"/>
        <v>12.95632716</v>
      </c>
      <c r="O818" s="10">
        <f t="shared" si="8"/>
        <v>103.3492823</v>
      </c>
      <c r="P818" s="9">
        <v>20.0</v>
      </c>
      <c r="Q818" s="11" t="str">
        <f t="shared" si="9"/>
        <v>cobertura correcta</v>
      </c>
      <c r="R818" s="12"/>
      <c r="S818" s="8"/>
      <c r="T818" s="12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5.75" customHeight="1">
      <c r="A819" s="5" t="s">
        <v>1565</v>
      </c>
      <c r="B819" s="6" t="s">
        <v>1566</v>
      </c>
      <c r="C819" s="6">
        <f t="shared" si="1"/>
        <v>5478</v>
      </c>
      <c r="D819" s="7">
        <v>0.0</v>
      </c>
      <c r="E819" s="7">
        <v>0.0</v>
      </c>
      <c r="F819" s="8"/>
      <c r="G819" s="6">
        <f t="shared" si="3"/>
        <v>1147</v>
      </c>
      <c r="H819" s="6">
        <f t="shared" si="4"/>
        <v>12293</v>
      </c>
      <c r="I819" s="6">
        <f t="shared" si="5"/>
        <v>22471</v>
      </c>
      <c r="J819" s="6">
        <f t="shared" si="6"/>
        <v>71654</v>
      </c>
      <c r="K819" s="9"/>
      <c r="L819" s="9"/>
      <c r="M819" s="9"/>
      <c r="N819" s="9">
        <f t="shared" si="7"/>
        <v>13.08032129</v>
      </c>
      <c r="O819" s="10">
        <f t="shared" si="8"/>
        <v>143.2781168</v>
      </c>
      <c r="P819" s="9">
        <v>20.0</v>
      </c>
      <c r="Q819" s="11" t="str">
        <f t="shared" si="9"/>
        <v>cobertura correcta</v>
      </c>
      <c r="R819" s="12"/>
      <c r="S819" s="8"/>
      <c r="T819" s="12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5" t="s">
        <v>1567</v>
      </c>
      <c r="B820" s="6" t="s">
        <v>1568</v>
      </c>
      <c r="C820" s="6">
        <f t="shared" si="1"/>
        <v>4100</v>
      </c>
      <c r="D820" s="7">
        <v>0.0</v>
      </c>
      <c r="E820" s="7">
        <v>0.0</v>
      </c>
      <c r="F820" s="8"/>
      <c r="G820" s="6">
        <f t="shared" si="3"/>
        <v>5118</v>
      </c>
      <c r="H820" s="6">
        <f t="shared" si="4"/>
        <v>14129</v>
      </c>
      <c r="I820" s="6">
        <f t="shared" si="5"/>
        <v>23061</v>
      </c>
      <c r="J820" s="6">
        <f t="shared" si="6"/>
        <v>30881</v>
      </c>
      <c r="K820" s="9"/>
      <c r="L820" s="9"/>
      <c r="M820" s="9"/>
      <c r="N820" s="9">
        <f t="shared" si="7"/>
        <v>7.53195122</v>
      </c>
      <c r="O820" s="10">
        <f t="shared" si="8"/>
        <v>24.03282532</v>
      </c>
      <c r="P820" s="9">
        <v>20.0</v>
      </c>
      <c r="Q820" s="11" t="str">
        <f t="shared" si="9"/>
        <v>cobertura correcta</v>
      </c>
      <c r="R820" s="12"/>
      <c r="S820" s="8"/>
      <c r="T820" s="12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5" t="s">
        <v>1569</v>
      </c>
      <c r="B821" s="6" t="s">
        <v>1570</v>
      </c>
      <c r="C821" s="6">
        <f t="shared" si="1"/>
        <v>8863</v>
      </c>
      <c r="D821" s="6">
        <f>RANDBETWEEN(0, 200)</f>
        <v>161</v>
      </c>
      <c r="E821" s="7">
        <v>0.0</v>
      </c>
      <c r="F821" s="8"/>
      <c r="G821" s="6">
        <f t="shared" si="3"/>
        <v>8567</v>
      </c>
      <c r="H821" s="6">
        <f t="shared" si="4"/>
        <v>13143</v>
      </c>
      <c r="I821" s="6">
        <f t="shared" si="5"/>
        <v>26056</v>
      </c>
      <c r="J821" s="6">
        <f t="shared" si="6"/>
        <v>71286</v>
      </c>
      <c r="K821" s="9"/>
      <c r="L821" s="9"/>
      <c r="M821" s="9"/>
      <c r="N821" s="9">
        <f t="shared" si="7"/>
        <v>8.04310053</v>
      </c>
      <c r="O821" s="10">
        <f t="shared" si="8"/>
        <v>31.03653554</v>
      </c>
      <c r="P821" s="9">
        <v>20.0</v>
      </c>
      <c r="Q821" s="11" t="str">
        <f t="shared" si="9"/>
        <v>cobertura correcta</v>
      </c>
      <c r="R821" s="12"/>
      <c r="S821" s="8"/>
      <c r="T821" s="12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5" t="s">
        <v>1571</v>
      </c>
      <c r="B822" s="6" t="s">
        <v>1572</v>
      </c>
      <c r="C822" s="6">
        <f t="shared" si="1"/>
        <v>8233</v>
      </c>
      <c r="D822" s="7">
        <v>0.0</v>
      </c>
      <c r="E822" s="7">
        <v>0.0</v>
      </c>
      <c r="F822" s="8"/>
      <c r="G822" s="6">
        <f t="shared" si="3"/>
        <v>2953</v>
      </c>
      <c r="H822" s="6">
        <f t="shared" si="4"/>
        <v>12017</v>
      </c>
      <c r="I822" s="6">
        <f t="shared" si="5"/>
        <v>21348</v>
      </c>
      <c r="J822" s="6">
        <f t="shared" si="6"/>
        <v>83092</v>
      </c>
      <c r="K822" s="9"/>
      <c r="L822" s="9"/>
      <c r="M822" s="9"/>
      <c r="N822" s="9">
        <f t="shared" si="7"/>
        <v>10.09255435</v>
      </c>
      <c r="O822" s="10">
        <f t="shared" si="8"/>
        <v>83.64036573</v>
      </c>
      <c r="P822" s="9">
        <v>20.0</v>
      </c>
      <c r="Q822" s="11" t="str">
        <f t="shared" si="9"/>
        <v>cobertura correcta</v>
      </c>
      <c r="R822" s="12"/>
      <c r="S822" s="8"/>
      <c r="T822" s="12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5" t="s">
        <v>1573</v>
      </c>
      <c r="B823" s="6" t="s">
        <v>1574</v>
      </c>
      <c r="C823" s="6">
        <f t="shared" si="1"/>
        <v>8813</v>
      </c>
      <c r="D823" s="7">
        <v>0.0</v>
      </c>
      <c r="E823" s="7">
        <v>0.0</v>
      </c>
      <c r="F823" s="8"/>
      <c r="G823" s="6">
        <f t="shared" si="3"/>
        <v>1965</v>
      </c>
      <c r="H823" s="6">
        <f t="shared" si="4"/>
        <v>14022</v>
      </c>
      <c r="I823" s="6">
        <f t="shared" si="5"/>
        <v>19909</v>
      </c>
      <c r="J823" s="6">
        <f t="shared" si="6"/>
        <v>80746</v>
      </c>
      <c r="K823" s="9"/>
      <c r="L823" s="9"/>
      <c r="M823" s="9"/>
      <c r="N823" s="9">
        <f t="shared" si="7"/>
        <v>9.162146829</v>
      </c>
      <c r="O823" s="10">
        <f t="shared" si="8"/>
        <v>134.5496183</v>
      </c>
      <c r="P823" s="9">
        <v>20.0</v>
      </c>
      <c r="Q823" s="11" t="str">
        <f t="shared" si="9"/>
        <v>cobertura correcta</v>
      </c>
      <c r="R823" s="12"/>
      <c r="S823" s="8"/>
      <c r="T823" s="12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5" t="s">
        <v>1575</v>
      </c>
      <c r="B824" s="6" t="s">
        <v>1576</v>
      </c>
      <c r="C824" s="6">
        <f t="shared" si="1"/>
        <v>6111</v>
      </c>
      <c r="D824" s="6">
        <f>RANDBETWEEN(0, 200)</f>
        <v>85</v>
      </c>
      <c r="E824" s="7">
        <v>0.0</v>
      </c>
      <c r="F824" s="8"/>
      <c r="G824" s="6">
        <f t="shared" si="3"/>
        <v>4769</v>
      </c>
      <c r="H824" s="6">
        <f t="shared" si="4"/>
        <v>12149</v>
      </c>
      <c r="I824" s="6">
        <f t="shared" si="5"/>
        <v>28707</v>
      </c>
      <c r="J824" s="6">
        <f t="shared" si="6"/>
        <v>46069</v>
      </c>
      <c r="K824" s="9"/>
      <c r="L824" s="9"/>
      <c r="M824" s="9"/>
      <c r="N824" s="9">
        <f t="shared" si="7"/>
        <v>7.538700704</v>
      </c>
      <c r="O824" s="10">
        <f t="shared" si="8"/>
        <v>38.44202139</v>
      </c>
      <c r="P824" s="9">
        <v>20.0</v>
      </c>
      <c r="Q824" s="11" t="str">
        <f t="shared" si="9"/>
        <v>cobertura correcta</v>
      </c>
      <c r="R824" s="12"/>
      <c r="S824" s="8"/>
      <c r="T824" s="12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5" t="s">
        <v>1577</v>
      </c>
      <c r="B825" s="6" t="s">
        <v>1578</v>
      </c>
      <c r="C825" s="6">
        <f t="shared" si="1"/>
        <v>7901</v>
      </c>
      <c r="D825" s="7">
        <v>0.0</v>
      </c>
      <c r="E825" s="7">
        <v>0.0</v>
      </c>
      <c r="F825" s="8"/>
      <c r="G825" s="6">
        <f t="shared" si="3"/>
        <v>8054</v>
      </c>
      <c r="H825" s="6">
        <f t="shared" si="4"/>
        <v>10289</v>
      </c>
      <c r="I825" s="6">
        <f t="shared" si="5"/>
        <v>22839</v>
      </c>
      <c r="J825" s="6">
        <f t="shared" si="6"/>
        <v>74597</v>
      </c>
      <c r="K825" s="9"/>
      <c r="L825" s="9"/>
      <c r="M825" s="9"/>
      <c r="N825" s="9">
        <f t="shared" si="7"/>
        <v>9.441463106</v>
      </c>
      <c r="O825" s="10">
        <f t="shared" si="8"/>
        <v>29.43009685</v>
      </c>
      <c r="P825" s="9">
        <v>20.0</v>
      </c>
      <c r="Q825" s="11" t="str">
        <f t="shared" si="9"/>
        <v>cobertura correcta</v>
      </c>
      <c r="R825" s="12"/>
      <c r="S825" s="8"/>
      <c r="T825" s="12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5" t="s">
        <v>1579</v>
      </c>
      <c r="B826" s="6" t="s">
        <v>1580</v>
      </c>
      <c r="C826" s="6">
        <f t="shared" si="1"/>
        <v>3883</v>
      </c>
      <c r="D826" s="6">
        <f t="shared" ref="D826:D830" si="50">RANDBETWEEN(0, 200)</f>
        <v>151</v>
      </c>
      <c r="E826" s="7">
        <v>0.0</v>
      </c>
      <c r="F826" s="8"/>
      <c r="G826" s="6">
        <f t="shared" si="3"/>
        <v>4348</v>
      </c>
      <c r="H826" s="6">
        <f t="shared" si="4"/>
        <v>16610</v>
      </c>
      <c r="I826" s="6">
        <f t="shared" si="5"/>
        <v>21327</v>
      </c>
      <c r="J826" s="6">
        <f t="shared" si="6"/>
        <v>71777</v>
      </c>
      <c r="K826" s="9"/>
      <c r="L826" s="9"/>
      <c r="M826" s="9"/>
      <c r="N826" s="9">
        <f t="shared" si="7"/>
        <v>18.48493433</v>
      </c>
      <c r="O826" s="10">
        <f t="shared" si="8"/>
        <v>26.79162833</v>
      </c>
      <c r="P826" s="9">
        <v>20.0</v>
      </c>
      <c r="Q826" s="11" t="str">
        <f t="shared" si="9"/>
        <v>cobertura correcta</v>
      </c>
      <c r="R826" s="12"/>
      <c r="S826" s="8"/>
      <c r="T826" s="12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5" t="s">
        <v>1581</v>
      </c>
      <c r="B827" s="6" t="s">
        <v>1582</v>
      </c>
      <c r="C827" s="6">
        <f t="shared" si="1"/>
        <v>8881</v>
      </c>
      <c r="D827" s="6">
        <f t="shared" si="50"/>
        <v>141</v>
      </c>
      <c r="E827" s="7">
        <v>0.0</v>
      </c>
      <c r="F827" s="8"/>
      <c r="G827" s="6">
        <f t="shared" si="3"/>
        <v>5260</v>
      </c>
      <c r="H827" s="6">
        <f t="shared" si="4"/>
        <v>10888</v>
      </c>
      <c r="I827" s="6">
        <f t="shared" si="5"/>
        <v>25892</v>
      </c>
      <c r="J827" s="6">
        <f t="shared" si="6"/>
        <v>73981</v>
      </c>
      <c r="K827" s="9"/>
      <c r="L827" s="9"/>
      <c r="M827" s="9"/>
      <c r="N827" s="9">
        <f t="shared" si="7"/>
        <v>8.330255602</v>
      </c>
      <c r="O827" s="10">
        <f t="shared" si="8"/>
        <v>50.65209125</v>
      </c>
      <c r="P827" s="9">
        <v>20.0</v>
      </c>
      <c r="Q827" s="11" t="str">
        <f t="shared" si="9"/>
        <v>cobertura correcta</v>
      </c>
      <c r="R827" s="12"/>
      <c r="S827" s="8"/>
      <c r="T827" s="12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5" t="s">
        <v>1583</v>
      </c>
      <c r="B828" s="6" t="s">
        <v>1584</v>
      </c>
      <c r="C828" s="6">
        <f t="shared" si="1"/>
        <v>1843</v>
      </c>
      <c r="D828" s="6">
        <f t="shared" si="50"/>
        <v>116</v>
      </c>
      <c r="E828" s="7">
        <v>0.0</v>
      </c>
      <c r="F828" s="8"/>
      <c r="G828" s="6">
        <f t="shared" si="3"/>
        <v>7916</v>
      </c>
      <c r="H828" s="6">
        <f t="shared" si="4"/>
        <v>13891</v>
      </c>
      <c r="I828" s="6">
        <f t="shared" si="5"/>
        <v>20308</v>
      </c>
      <c r="J828" s="6">
        <f t="shared" si="6"/>
        <v>94495</v>
      </c>
      <c r="K828" s="9"/>
      <c r="L828" s="9"/>
      <c r="M828" s="9"/>
      <c r="N828" s="9">
        <f t="shared" si="7"/>
        <v>51.27238199</v>
      </c>
      <c r="O828" s="10">
        <f t="shared" si="8"/>
        <v>6.984588176</v>
      </c>
      <c r="P828" s="9">
        <v>20.0</v>
      </c>
      <c r="Q828" s="11" t="str">
        <f t="shared" si="9"/>
        <v>¡Compra YA!</v>
      </c>
      <c r="R828" s="12"/>
      <c r="S828" s="8"/>
      <c r="T828" s="12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5" t="s">
        <v>1585</v>
      </c>
      <c r="B829" s="6" t="s">
        <v>1586</v>
      </c>
      <c r="C829" s="6">
        <f t="shared" si="1"/>
        <v>7975</v>
      </c>
      <c r="D829" s="6">
        <f t="shared" si="50"/>
        <v>51</v>
      </c>
      <c r="E829" s="7">
        <v>0.0</v>
      </c>
      <c r="F829" s="8"/>
      <c r="G829" s="6">
        <f t="shared" si="3"/>
        <v>2732</v>
      </c>
      <c r="H829" s="6">
        <f t="shared" si="4"/>
        <v>14257</v>
      </c>
      <c r="I829" s="6">
        <f t="shared" si="5"/>
        <v>22684</v>
      </c>
      <c r="J829" s="6">
        <f t="shared" si="6"/>
        <v>95140</v>
      </c>
      <c r="K829" s="9"/>
      <c r="L829" s="9"/>
      <c r="M829" s="9"/>
      <c r="N829" s="9">
        <f t="shared" si="7"/>
        <v>11.92978056</v>
      </c>
      <c r="O829" s="10">
        <f t="shared" si="8"/>
        <v>87.57320644</v>
      </c>
      <c r="P829" s="9">
        <v>20.0</v>
      </c>
      <c r="Q829" s="11" t="str">
        <f t="shared" si="9"/>
        <v>cobertura correcta</v>
      </c>
      <c r="R829" s="12"/>
      <c r="S829" s="8"/>
      <c r="T829" s="12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5" t="s">
        <v>1587</v>
      </c>
      <c r="B830" s="6" t="s">
        <v>1588</v>
      </c>
      <c r="C830" s="6">
        <f t="shared" si="1"/>
        <v>4845</v>
      </c>
      <c r="D830" s="6">
        <f t="shared" si="50"/>
        <v>194</v>
      </c>
      <c r="E830" s="7">
        <v>0.0</v>
      </c>
      <c r="F830" s="8"/>
      <c r="G830" s="6">
        <f t="shared" si="3"/>
        <v>2418</v>
      </c>
      <c r="H830" s="6">
        <f t="shared" si="4"/>
        <v>10663</v>
      </c>
      <c r="I830" s="6">
        <f t="shared" si="5"/>
        <v>22343</v>
      </c>
      <c r="J830" s="6">
        <f t="shared" si="6"/>
        <v>50642</v>
      </c>
      <c r="K830" s="9"/>
      <c r="L830" s="9"/>
      <c r="M830" s="9"/>
      <c r="N830" s="9">
        <f t="shared" si="7"/>
        <v>10.45242518</v>
      </c>
      <c r="O830" s="10">
        <f t="shared" si="8"/>
        <v>60.11166253</v>
      </c>
      <c r="P830" s="9">
        <v>20.0</v>
      </c>
      <c r="Q830" s="11" t="str">
        <f t="shared" si="9"/>
        <v>cobertura correcta</v>
      </c>
      <c r="R830" s="12"/>
      <c r="S830" s="8"/>
      <c r="T830" s="12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5" t="s">
        <v>1589</v>
      </c>
      <c r="B831" s="6" t="s">
        <v>1590</v>
      </c>
      <c r="C831" s="6">
        <f t="shared" si="1"/>
        <v>3776</v>
      </c>
      <c r="D831" s="7">
        <v>0.0</v>
      </c>
      <c r="E831" s="7">
        <v>0.0</v>
      </c>
      <c r="F831" s="8"/>
      <c r="G831" s="6">
        <f t="shared" si="3"/>
        <v>3183</v>
      </c>
      <c r="H831" s="6">
        <f t="shared" si="4"/>
        <v>11970</v>
      </c>
      <c r="I831" s="6">
        <f t="shared" si="5"/>
        <v>21426</v>
      </c>
      <c r="J831" s="6">
        <f t="shared" si="6"/>
        <v>98779</v>
      </c>
      <c r="K831" s="9"/>
      <c r="L831" s="9"/>
      <c r="M831" s="9"/>
      <c r="N831" s="9">
        <f t="shared" si="7"/>
        <v>26.1596928</v>
      </c>
      <c r="O831" s="10">
        <f t="shared" si="8"/>
        <v>35.58906692</v>
      </c>
      <c r="P831" s="9">
        <v>20.0</v>
      </c>
      <c r="Q831" s="11" t="str">
        <f t="shared" si="9"/>
        <v>cobertura correcta</v>
      </c>
      <c r="R831" s="12"/>
      <c r="S831" s="8"/>
      <c r="T831" s="12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5" t="s">
        <v>1591</v>
      </c>
      <c r="B832" s="6" t="s">
        <v>1592</v>
      </c>
      <c r="C832" s="6">
        <f t="shared" si="1"/>
        <v>6963</v>
      </c>
      <c r="D832" s="6">
        <f t="shared" ref="D832:D836" si="51">RANDBETWEEN(0, 200)</f>
        <v>95</v>
      </c>
      <c r="E832" s="7">
        <v>0.0</v>
      </c>
      <c r="F832" s="8"/>
      <c r="G832" s="6">
        <f t="shared" si="3"/>
        <v>5195</v>
      </c>
      <c r="H832" s="6">
        <f t="shared" si="4"/>
        <v>18264</v>
      </c>
      <c r="I832" s="6">
        <f t="shared" si="5"/>
        <v>26288</v>
      </c>
      <c r="J832" s="6">
        <f t="shared" si="6"/>
        <v>42022</v>
      </c>
      <c r="K832" s="9"/>
      <c r="L832" s="9"/>
      <c r="M832" s="9"/>
      <c r="N832" s="9">
        <f t="shared" si="7"/>
        <v>6.035042367</v>
      </c>
      <c r="O832" s="10">
        <f t="shared" si="8"/>
        <v>40.20981713</v>
      </c>
      <c r="P832" s="9">
        <v>20.0</v>
      </c>
      <c r="Q832" s="11" t="str">
        <f t="shared" si="9"/>
        <v>cobertura correcta</v>
      </c>
      <c r="R832" s="12"/>
      <c r="S832" s="8"/>
      <c r="T832" s="12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5" t="s">
        <v>1593</v>
      </c>
      <c r="B833" s="6" t="s">
        <v>1594</v>
      </c>
      <c r="C833" s="6">
        <f t="shared" si="1"/>
        <v>1302</v>
      </c>
      <c r="D833" s="6">
        <f t="shared" si="51"/>
        <v>62</v>
      </c>
      <c r="E833" s="7">
        <v>0.0</v>
      </c>
      <c r="F833" s="8"/>
      <c r="G833" s="6">
        <f t="shared" si="3"/>
        <v>3698</v>
      </c>
      <c r="H833" s="6">
        <f t="shared" si="4"/>
        <v>17803</v>
      </c>
      <c r="I833" s="6">
        <f t="shared" si="5"/>
        <v>27343</v>
      </c>
      <c r="J833" s="6">
        <f t="shared" si="6"/>
        <v>73753</v>
      </c>
      <c r="K833" s="9"/>
      <c r="L833" s="9"/>
      <c r="M833" s="9"/>
      <c r="N833" s="9">
        <f t="shared" si="7"/>
        <v>56.64592934</v>
      </c>
      <c r="O833" s="10">
        <f t="shared" si="8"/>
        <v>10.5624662</v>
      </c>
      <c r="P833" s="9">
        <v>20.0</v>
      </c>
      <c r="Q833" s="11" t="str">
        <f t="shared" si="9"/>
        <v>¡Compra YA!</v>
      </c>
      <c r="R833" s="12"/>
      <c r="S833" s="8"/>
      <c r="T833" s="12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5" t="s">
        <v>1595</v>
      </c>
      <c r="B834" s="6" t="s">
        <v>1596</v>
      </c>
      <c r="C834" s="6">
        <f t="shared" si="1"/>
        <v>6203</v>
      </c>
      <c r="D834" s="6">
        <f t="shared" si="51"/>
        <v>99</v>
      </c>
      <c r="E834" s="7">
        <v>0.0</v>
      </c>
      <c r="F834" s="8"/>
      <c r="G834" s="6">
        <f t="shared" si="3"/>
        <v>6950</v>
      </c>
      <c r="H834" s="6">
        <f t="shared" si="4"/>
        <v>14412</v>
      </c>
      <c r="I834" s="6">
        <f t="shared" si="5"/>
        <v>28583</v>
      </c>
      <c r="J834" s="6">
        <f t="shared" si="6"/>
        <v>48842</v>
      </c>
      <c r="K834" s="9"/>
      <c r="L834" s="9"/>
      <c r="M834" s="9"/>
      <c r="N834" s="9">
        <f t="shared" si="7"/>
        <v>7.873931968</v>
      </c>
      <c r="O834" s="10">
        <f t="shared" si="8"/>
        <v>26.77553957</v>
      </c>
      <c r="P834" s="9">
        <v>20.0</v>
      </c>
      <c r="Q834" s="11" t="str">
        <f t="shared" si="9"/>
        <v>cobertura correcta</v>
      </c>
      <c r="R834" s="12"/>
      <c r="S834" s="8"/>
      <c r="T834" s="12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5" t="s">
        <v>1597</v>
      </c>
      <c r="B835" s="6" t="s">
        <v>1598</v>
      </c>
      <c r="C835" s="6">
        <f t="shared" si="1"/>
        <v>3360</v>
      </c>
      <c r="D835" s="6">
        <f t="shared" si="51"/>
        <v>134</v>
      </c>
      <c r="E835" s="7">
        <v>0.0</v>
      </c>
      <c r="F835" s="8"/>
      <c r="G835" s="6">
        <f t="shared" si="3"/>
        <v>2839</v>
      </c>
      <c r="H835" s="6">
        <f t="shared" si="4"/>
        <v>17720</v>
      </c>
      <c r="I835" s="6">
        <f t="shared" si="5"/>
        <v>22428</v>
      </c>
      <c r="J835" s="6">
        <f t="shared" si="6"/>
        <v>39307</v>
      </c>
      <c r="K835" s="9"/>
      <c r="L835" s="9"/>
      <c r="M835" s="9"/>
      <c r="N835" s="9">
        <f t="shared" si="7"/>
        <v>11.6985119</v>
      </c>
      <c r="O835" s="10">
        <f t="shared" si="8"/>
        <v>35.50545967</v>
      </c>
      <c r="P835" s="9">
        <v>20.0</v>
      </c>
      <c r="Q835" s="11" t="str">
        <f t="shared" si="9"/>
        <v>cobertura correcta</v>
      </c>
      <c r="R835" s="12"/>
      <c r="S835" s="8"/>
      <c r="T835" s="12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5" t="s">
        <v>1599</v>
      </c>
      <c r="B836" s="6" t="s">
        <v>1600</v>
      </c>
      <c r="C836" s="6">
        <f t="shared" si="1"/>
        <v>1112</v>
      </c>
      <c r="D836" s="6">
        <f t="shared" si="51"/>
        <v>158</v>
      </c>
      <c r="E836" s="7">
        <v>0.0</v>
      </c>
      <c r="F836" s="8"/>
      <c r="G836" s="6">
        <f t="shared" si="3"/>
        <v>2743</v>
      </c>
      <c r="H836" s="6">
        <f t="shared" si="4"/>
        <v>15206</v>
      </c>
      <c r="I836" s="6">
        <f t="shared" si="5"/>
        <v>20969</v>
      </c>
      <c r="J836" s="6">
        <f t="shared" si="6"/>
        <v>74494</v>
      </c>
      <c r="K836" s="9"/>
      <c r="L836" s="9"/>
      <c r="M836" s="9"/>
      <c r="N836" s="9">
        <f t="shared" si="7"/>
        <v>66.99100719</v>
      </c>
      <c r="O836" s="10">
        <f t="shared" si="8"/>
        <v>12.16186657</v>
      </c>
      <c r="P836" s="9">
        <v>20.0</v>
      </c>
      <c r="Q836" s="11" t="str">
        <f t="shared" si="9"/>
        <v>¡Compra YA!</v>
      </c>
      <c r="R836" s="12"/>
      <c r="S836" s="8"/>
      <c r="T836" s="12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5.75" customHeight="1">
      <c r="A837" s="5" t="s">
        <v>1601</v>
      </c>
      <c r="B837" s="6"/>
      <c r="C837" s="6">
        <f t="shared" si="1"/>
        <v>2524</v>
      </c>
      <c r="D837" s="7">
        <v>0.0</v>
      </c>
      <c r="E837" s="7">
        <v>0.0</v>
      </c>
      <c r="F837" s="8"/>
      <c r="G837" s="6">
        <f t="shared" si="3"/>
        <v>7404</v>
      </c>
      <c r="H837" s="6">
        <f t="shared" si="4"/>
        <v>11654</v>
      </c>
      <c r="I837" s="6">
        <f t="shared" si="5"/>
        <v>25431</v>
      </c>
      <c r="J837" s="6">
        <f t="shared" si="6"/>
        <v>30699</v>
      </c>
      <c r="K837" s="9"/>
      <c r="L837" s="9"/>
      <c r="M837" s="9"/>
      <c r="N837" s="9">
        <f t="shared" si="7"/>
        <v>12.16283677</v>
      </c>
      <c r="O837" s="10">
        <f t="shared" si="8"/>
        <v>10.22690438</v>
      </c>
      <c r="P837" s="9">
        <v>15.0</v>
      </c>
      <c r="Q837" s="11" t="str">
        <f t="shared" si="9"/>
        <v>¡Compra YA!</v>
      </c>
      <c r="R837" s="12"/>
      <c r="S837" s="8"/>
      <c r="T837" s="12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5.75" customHeight="1">
      <c r="A838" s="5" t="s">
        <v>1602</v>
      </c>
      <c r="B838" s="6" t="s">
        <v>1603</v>
      </c>
      <c r="C838" s="6">
        <f t="shared" si="1"/>
        <v>1965</v>
      </c>
      <c r="D838" s="6">
        <f>RANDBETWEEN(0, 200)</f>
        <v>105</v>
      </c>
      <c r="E838" s="7">
        <v>0.0</v>
      </c>
      <c r="F838" s="8"/>
      <c r="G838" s="6">
        <f t="shared" si="3"/>
        <v>4628</v>
      </c>
      <c r="H838" s="6">
        <f t="shared" si="4"/>
        <v>11898</v>
      </c>
      <c r="I838" s="6">
        <f t="shared" si="5"/>
        <v>20276</v>
      </c>
      <c r="J838" s="6">
        <f t="shared" si="6"/>
        <v>59128</v>
      </c>
      <c r="K838" s="9"/>
      <c r="L838" s="9"/>
      <c r="M838" s="9"/>
      <c r="N838" s="9">
        <f t="shared" si="7"/>
        <v>30.09058524</v>
      </c>
      <c r="O838" s="10">
        <f t="shared" si="8"/>
        <v>12.73768366</v>
      </c>
      <c r="P838" s="9">
        <v>15.0</v>
      </c>
      <c r="Q838" s="11" t="str">
        <f t="shared" si="9"/>
        <v>¡Compra YA!</v>
      </c>
      <c r="R838" s="12"/>
      <c r="S838" s="8"/>
      <c r="T838" s="12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5.75" customHeight="1">
      <c r="A839" s="5" t="s">
        <v>1604</v>
      </c>
      <c r="B839" s="6" t="s">
        <v>1605</v>
      </c>
      <c r="C839" s="6">
        <f t="shared" si="1"/>
        <v>2440</v>
      </c>
      <c r="D839" s="7">
        <v>0.0</v>
      </c>
      <c r="E839" s="7">
        <v>0.0</v>
      </c>
      <c r="F839" s="8"/>
      <c r="G839" s="6">
        <f t="shared" si="3"/>
        <v>1458</v>
      </c>
      <c r="H839" s="6">
        <f t="shared" si="4"/>
        <v>18252</v>
      </c>
      <c r="I839" s="6">
        <f t="shared" si="5"/>
        <v>19242</v>
      </c>
      <c r="J839" s="6">
        <f t="shared" si="6"/>
        <v>80689</v>
      </c>
      <c r="K839" s="9"/>
      <c r="L839" s="9"/>
      <c r="M839" s="9"/>
      <c r="N839" s="9">
        <f t="shared" si="7"/>
        <v>33.0692623</v>
      </c>
      <c r="O839" s="10">
        <f t="shared" si="8"/>
        <v>50.20576132</v>
      </c>
      <c r="P839" s="9">
        <v>15.0</v>
      </c>
      <c r="Q839" s="11" t="str">
        <f t="shared" si="9"/>
        <v>cobertura correcta</v>
      </c>
      <c r="R839" s="12"/>
      <c r="S839" s="8"/>
      <c r="T839" s="12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5.75" customHeight="1">
      <c r="A840" s="5" t="s">
        <v>1606</v>
      </c>
      <c r="B840" s="6" t="s">
        <v>1607</v>
      </c>
      <c r="C840" s="6">
        <f t="shared" si="1"/>
        <v>6979</v>
      </c>
      <c r="D840" s="6">
        <f t="shared" ref="D840:D850" si="52">RANDBETWEEN(0, 200)</f>
        <v>200</v>
      </c>
      <c r="E840" s="7">
        <v>0.0</v>
      </c>
      <c r="F840" s="8"/>
      <c r="G840" s="6">
        <f t="shared" si="3"/>
        <v>2126</v>
      </c>
      <c r="H840" s="6">
        <f t="shared" si="4"/>
        <v>14328</v>
      </c>
      <c r="I840" s="6">
        <f t="shared" si="5"/>
        <v>24467</v>
      </c>
      <c r="J840" s="6">
        <f t="shared" si="6"/>
        <v>94256</v>
      </c>
      <c r="K840" s="9"/>
      <c r="L840" s="9"/>
      <c r="M840" s="9"/>
      <c r="N840" s="9">
        <f t="shared" si="7"/>
        <v>13.50565984</v>
      </c>
      <c r="O840" s="10">
        <f t="shared" si="8"/>
        <v>98.48071496</v>
      </c>
      <c r="P840" s="9">
        <v>15.0</v>
      </c>
      <c r="Q840" s="11" t="str">
        <f t="shared" si="9"/>
        <v>cobertura correcta</v>
      </c>
      <c r="R840" s="12"/>
      <c r="S840" s="8"/>
      <c r="T840" s="12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5.75" customHeight="1">
      <c r="A841" s="5" t="s">
        <v>1608</v>
      </c>
      <c r="B841" s="6" t="s">
        <v>1609</v>
      </c>
      <c r="C841" s="6">
        <f t="shared" si="1"/>
        <v>3890</v>
      </c>
      <c r="D841" s="6">
        <f t="shared" si="52"/>
        <v>99</v>
      </c>
      <c r="E841" s="7">
        <v>0.0</v>
      </c>
      <c r="F841" s="8"/>
      <c r="G841" s="6">
        <f t="shared" si="3"/>
        <v>6061</v>
      </c>
      <c r="H841" s="6">
        <f t="shared" si="4"/>
        <v>10867</v>
      </c>
      <c r="I841" s="6">
        <f t="shared" si="5"/>
        <v>27289</v>
      </c>
      <c r="J841" s="6">
        <f t="shared" si="6"/>
        <v>30622</v>
      </c>
      <c r="K841" s="9"/>
      <c r="L841" s="9"/>
      <c r="M841" s="9"/>
      <c r="N841" s="9">
        <f t="shared" si="7"/>
        <v>7.871979434</v>
      </c>
      <c r="O841" s="10">
        <f t="shared" si="8"/>
        <v>19.25424847</v>
      </c>
      <c r="P841" s="9">
        <v>15.0</v>
      </c>
      <c r="Q841" s="11" t="str">
        <f t="shared" si="9"/>
        <v>cobertura correcta</v>
      </c>
      <c r="R841" s="12"/>
      <c r="S841" s="8"/>
      <c r="T841" s="12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5.75" customHeight="1">
      <c r="A842" s="5" t="s">
        <v>1610</v>
      </c>
      <c r="B842" s="6" t="s">
        <v>1611</v>
      </c>
      <c r="C842" s="6">
        <f t="shared" si="1"/>
        <v>5577</v>
      </c>
      <c r="D842" s="6">
        <f t="shared" si="52"/>
        <v>56</v>
      </c>
      <c r="E842" s="7">
        <v>0.0</v>
      </c>
      <c r="F842" s="8"/>
      <c r="G842" s="6">
        <f t="shared" si="3"/>
        <v>4233</v>
      </c>
      <c r="H842" s="6">
        <f t="shared" si="4"/>
        <v>17018</v>
      </c>
      <c r="I842" s="6">
        <f t="shared" si="5"/>
        <v>25766</v>
      </c>
      <c r="J842" s="6">
        <f t="shared" si="6"/>
        <v>35139</v>
      </c>
      <c r="K842" s="9"/>
      <c r="L842" s="9"/>
      <c r="M842" s="9"/>
      <c r="N842" s="9">
        <f t="shared" si="7"/>
        <v>6.300699301</v>
      </c>
      <c r="O842" s="10">
        <f t="shared" si="8"/>
        <v>39.52515946</v>
      </c>
      <c r="P842" s="9">
        <v>15.0</v>
      </c>
      <c r="Q842" s="11" t="str">
        <f t="shared" si="9"/>
        <v>cobertura correcta</v>
      </c>
      <c r="R842" s="12"/>
      <c r="S842" s="8"/>
      <c r="T842" s="12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5.75" customHeight="1">
      <c r="A843" s="5" t="s">
        <v>1612</v>
      </c>
      <c r="B843" s="6" t="s">
        <v>1613</v>
      </c>
      <c r="C843" s="6">
        <f t="shared" si="1"/>
        <v>4098</v>
      </c>
      <c r="D843" s="6">
        <f t="shared" si="52"/>
        <v>148</v>
      </c>
      <c r="E843" s="7">
        <v>0.0</v>
      </c>
      <c r="F843" s="8"/>
      <c r="G843" s="6">
        <f t="shared" si="3"/>
        <v>5081</v>
      </c>
      <c r="H843" s="6">
        <f t="shared" si="4"/>
        <v>15834</v>
      </c>
      <c r="I843" s="6">
        <f t="shared" si="5"/>
        <v>19791</v>
      </c>
      <c r="J843" s="6">
        <f t="shared" si="6"/>
        <v>92886</v>
      </c>
      <c r="K843" s="9"/>
      <c r="L843" s="9"/>
      <c r="M843" s="9"/>
      <c r="N843" s="9">
        <f t="shared" si="7"/>
        <v>22.66617862</v>
      </c>
      <c r="O843" s="10">
        <f t="shared" si="8"/>
        <v>24.1960244</v>
      </c>
      <c r="P843" s="9">
        <v>15.0</v>
      </c>
      <c r="Q843" s="11" t="str">
        <f t="shared" si="9"/>
        <v>cobertura correcta</v>
      </c>
      <c r="R843" s="12"/>
      <c r="S843" s="8"/>
      <c r="T843" s="12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5.75" customHeight="1">
      <c r="A844" s="5" t="s">
        <v>1614</v>
      </c>
      <c r="B844" s="6" t="s">
        <v>1615</v>
      </c>
      <c r="C844" s="6">
        <f t="shared" si="1"/>
        <v>7418</v>
      </c>
      <c r="D844" s="6">
        <f t="shared" si="52"/>
        <v>19</v>
      </c>
      <c r="E844" s="7">
        <v>0.0</v>
      </c>
      <c r="F844" s="8"/>
      <c r="G844" s="6">
        <f t="shared" si="3"/>
        <v>1870</v>
      </c>
      <c r="H844" s="6">
        <f t="shared" si="4"/>
        <v>11900</v>
      </c>
      <c r="I844" s="6">
        <f t="shared" si="5"/>
        <v>19247</v>
      </c>
      <c r="J844" s="6">
        <f t="shared" si="6"/>
        <v>75802</v>
      </c>
      <c r="K844" s="9"/>
      <c r="L844" s="9"/>
      <c r="M844" s="9"/>
      <c r="N844" s="9">
        <f t="shared" si="7"/>
        <v>10.21865732</v>
      </c>
      <c r="O844" s="10">
        <f t="shared" si="8"/>
        <v>119.0053476</v>
      </c>
      <c r="P844" s="9">
        <v>15.0</v>
      </c>
      <c r="Q844" s="11" t="str">
        <f t="shared" si="9"/>
        <v>cobertura correcta</v>
      </c>
      <c r="R844" s="12"/>
      <c r="S844" s="8"/>
      <c r="T844" s="12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5.75" customHeight="1">
      <c r="A845" s="5" t="s">
        <v>1616</v>
      </c>
      <c r="B845" s="6" t="s">
        <v>1617</v>
      </c>
      <c r="C845" s="6">
        <f t="shared" si="1"/>
        <v>7498</v>
      </c>
      <c r="D845" s="6">
        <f t="shared" si="52"/>
        <v>82</v>
      </c>
      <c r="E845" s="7">
        <v>0.0</v>
      </c>
      <c r="F845" s="8"/>
      <c r="G845" s="6">
        <f t="shared" si="3"/>
        <v>8209</v>
      </c>
      <c r="H845" s="6">
        <f t="shared" si="4"/>
        <v>10800</v>
      </c>
      <c r="I845" s="6">
        <f t="shared" si="5"/>
        <v>25702</v>
      </c>
      <c r="J845" s="6">
        <f t="shared" si="6"/>
        <v>58871</v>
      </c>
      <c r="K845" s="9"/>
      <c r="L845" s="9"/>
      <c r="M845" s="9"/>
      <c r="N845" s="9">
        <f t="shared" si="7"/>
        <v>7.851560416</v>
      </c>
      <c r="O845" s="10">
        <f t="shared" si="8"/>
        <v>27.40163235</v>
      </c>
      <c r="P845" s="9">
        <v>15.0</v>
      </c>
      <c r="Q845" s="11" t="str">
        <f t="shared" si="9"/>
        <v>cobertura correcta</v>
      </c>
      <c r="R845" s="12"/>
      <c r="S845" s="8"/>
      <c r="T845" s="12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5.75" customHeight="1">
      <c r="A846" s="5" t="s">
        <v>1618</v>
      </c>
      <c r="B846" s="6" t="s">
        <v>1619</v>
      </c>
      <c r="C846" s="6">
        <f t="shared" si="1"/>
        <v>5819</v>
      </c>
      <c r="D846" s="6">
        <f t="shared" si="52"/>
        <v>164</v>
      </c>
      <c r="E846" s="7">
        <v>0.0</v>
      </c>
      <c r="F846" s="8"/>
      <c r="G846" s="6">
        <f t="shared" si="3"/>
        <v>3187</v>
      </c>
      <c r="H846" s="6">
        <f t="shared" si="4"/>
        <v>11263</v>
      </c>
      <c r="I846" s="6">
        <f t="shared" si="5"/>
        <v>19588</v>
      </c>
      <c r="J846" s="6">
        <f t="shared" si="6"/>
        <v>50561</v>
      </c>
      <c r="K846" s="9"/>
      <c r="L846" s="9"/>
      <c r="M846" s="9"/>
      <c r="N846" s="9">
        <f t="shared" si="7"/>
        <v>8.688949991</v>
      </c>
      <c r="O846" s="10">
        <f t="shared" si="8"/>
        <v>54.77565108</v>
      </c>
      <c r="P846" s="9">
        <v>15.0</v>
      </c>
      <c r="Q846" s="11" t="str">
        <f t="shared" si="9"/>
        <v>cobertura correcta</v>
      </c>
      <c r="R846" s="12"/>
      <c r="S846" s="8"/>
      <c r="T846" s="12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5.75" customHeight="1">
      <c r="A847" s="5" t="s">
        <v>1620</v>
      </c>
      <c r="B847" s="6" t="s">
        <v>1621</v>
      </c>
      <c r="C847" s="6">
        <f t="shared" si="1"/>
        <v>4778</v>
      </c>
      <c r="D847" s="6">
        <f t="shared" si="52"/>
        <v>65</v>
      </c>
      <c r="E847" s="7">
        <v>0.0</v>
      </c>
      <c r="F847" s="8"/>
      <c r="G847" s="6">
        <f t="shared" si="3"/>
        <v>6626</v>
      </c>
      <c r="H847" s="6">
        <f t="shared" si="4"/>
        <v>12285</v>
      </c>
      <c r="I847" s="6">
        <f t="shared" si="5"/>
        <v>25593</v>
      </c>
      <c r="J847" s="6">
        <f t="shared" si="6"/>
        <v>52369</v>
      </c>
      <c r="K847" s="9"/>
      <c r="L847" s="9"/>
      <c r="M847" s="9"/>
      <c r="N847" s="9">
        <f t="shared" si="7"/>
        <v>10.9604437</v>
      </c>
      <c r="O847" s="10">
        <f t="shared" si="8"/>
        <v>21.63296106</v>
      </c>
      <c r="P847" s="9">
        <v>15.0</v>
      </c>
      <c r="Q847" s="11" t="str">
        <f t="shared" si="9"/>
        <v>cobertura correcta</v>
      </c>
      <c r="R847" s="12"/>
      <c r="S847" s="8"/>
      <c r="T847" s="12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5.75" customHeight="1">
      <c r="A848" s="5" t="s">
        <v>1622</v>
      </c>
      <c r="B848" s="6" t="s">
        <v>1623</v>
      </c>
      <c r="C848" s="6">
        <f t="shared" si="1"/>
        <v>6004</v>
      </c>
      <c r="D848" s="6">
        <f t="shared" si="52"/>
        <v>77</v>
      </c>
      <c r="E848" s="7">
        <v>0.0</v>
      </c>
      <c r="F848" s="8"/>
      <c r="G848" s="6">
        <f t="shared" si="3"/>
        <v>3909</v>
      </c>
      <c r="H848" s="6">
        <f t="shared" si="4"/>
        <v>16966</v>
      </c>
      <c r="I848" s="6">
        <f t="shared" si="5"/>
        <v>24956</v>
      </c>
      <c r="J848" s="6">
        <f t="shared" si="6"/>
        <v>83916</v>
      </c>
      <c r="K848" s="9"/>
      <c r="L848" s="9"/>
      <c r="M848" s="9"/>
      <c r="N848" s="9">
        <f t="shared" si="7"/>
        <v>13.97668221</v>
      </c>
      <c r="O848" s="10">
        <f t="shared" si="8"/>
        <v>46.07828089</v>
      </c>
      <c r="P848" s="9">
        <v>15.0</v>
      </c>
      <c r="Q848" s="11" t="str">
        <f t="shared" si="9"/>
        <v>cobertura correcta</v>
      </c>
      <c r="R848" s="12"/>
      <c r="S848" s="8"/>
      <c r="T848" s="12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5.75" customHeight="1">
      <c r="A849" s="5" t="s">
        <v>1624</v>
      </c>
      <c r="B849" s="6" t="s">
        <v>1625</v>
      </c>
      <c r="C849" s="6">
        <f t="shared" si="1"/>
        <v>8177</v>
      </c>
      <c r="D849" s="6">
        <f t="shared" si="52"/>
        <v>66</v>
      </c>
      <c r="E849" s="7">
        <v>0.0</v>
      </c>
      <c r="F849" s="8"/>
      <c r="G849" s="6">
        <f t="shared" si="3"/>
        <v>4582</v>
      </c>
      <c r="H849" s="6">
        <f t="shared" si="4"/>
        <v>12331</v>
      </c>
      <c r="I849" s="6">
        <f t="shared" si="5"/>
        <v>24574</v>
      </c>
      <c r="J849" s="6">
        <f t="shared" si="6"/>
        <v>95921</v>
      </c>
      <c r="K849" s="9"/>
      <c r="L849" s="9"/>
      <c r="M849" s="9"/>
      <c r="N849" s="9">
        <f t="shared" si="7"/>
        <v>11.73058579</v>
      </c>
      <c r="O849" s="10">
        <f t="shared" si="8"/>
        <v>53.53775644</v>
      </c>
      <c r="P849" s="9">
        <v>15.0</v>
      </c>
      <c r="Q849" s="11" t="str">
        <f t="shared" si="9"/>
        <v>cobertura correcta</v>
      </c>
      <c r="R849" s="12"/>
      <c r="S849" s="8"/>
      <c r="T849" s="12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5.75" customHeight="1">
      <c r="A850" s="5" t="s">
        <v>1626</v>
      </c>
      <c r="B850" s="6" t="s">
        <v>1627</v>
      </c>
      <c r="C850" s="6">
        <f t="shared" si="1"/>
        <v>1529</v>
      </c>
      <c r="D850" s="6">
        <f t="shared" si="52"/>
        <v>184</v>
      </c>
      <c r="E850" s="7">
        <v>0.0</v>
      </c>
      <c r="F850" s="8"/>
      <c r="G850" s="6">
        <f t="shared" si="3"/>
        <v>8809</v>
      </c>
      <c r="H850" s="6">
        <f t="shared" si="4"/>
        <v>14175</v>
      </c>
      <c r="I850" s="6">
        <f t="shared" si="5"/>
        <v>22587</v>
      </c>
      <c r="J850" s="6">
        <f t="shared" si="6"/>
        <v>43144</v>
      </c>
      <c r="K850" s="9"/>
      <c r="L850" s="9"/>
      <c r="M850" s="9"/>
      <c r="N850" s="9">
        <f t="shared" si="7"/>
        <v>28.21713538</v>
      </c>
      <c r="O850" s="10">
        <f t="shared" si="8"/>
        <v>5.207174481</v>
      </c>
      <c r="P850" s="9">
        <v>15.0</v>
      </c>
      <c r="Q850" s="11" t="str">
        <f t="shared" si="9"/>
        <v>¡Compra YA!</v>
      </c>
      <c r="R850" s="12"/>
      <c r="S850" s="8"/>
      <c r="T850" s="12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5.75" customHeight="1">
      <c r="A851" s="5" t="s">
        <v>1628</v>
      </c>
      <c r="B851" s="6" t="s">
        <v>1629</v>
      </c>
      <c r="C851" s="6">
        <f t="shared" si="1"/>
        <v>4037</v>
      </c>
      <c r="D851" s="7">
        <v>0.0</v>
      </c>
      <c r="E851" s="7">
        <v>0.0</v>
      </c>
      <c r="F851" s="8"/>
      <c r="G851" s="6">
        <f t="shared" si="3"/>
        <v>4505</v>
      </c>
      <c r="H851" s="6">
        <f t="shared" si="4"/>
        <v>16402</v>
      </c>
      <c r="I851" s="6">
        <f t="shared" si="5"/>
        <v>25372</v>
      </c>
      <c r="J851" s="6">
        <f t="shared" si="6"/>
        <v>82215</v>
      </c>
      <c r="K851" s="9"/>
      <c r="L851" s="9"/>
      <c r="M851" s="9"/>
      <c r="N851" s="9">
        <f t="shared" si="7"/>
        <v>20.36537032</v>
      </c>
      <c r="O851" s="10">
        <f t="shared" si="8"/>
        <v>26.88346282</v>
      </c>
      <c r="P851" s="9">
        <v>15.0</v>
      </c>
      <c r="Q851" s="11" t="str">
        <f t="shared" si="9"/>
        <v>cobertura correcta</v>
      </c>
      <c r="R851" s="12"/>
      <c r="S851" s="8"/>
      <c r="T851" s="12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5.75" customHeight="1">
      <c r="A852" s="5" t="s">
        <v>1630</v>
      </c>
      <c r="B852" s="6" t="s">
        <v>1631</v>
      </c>
      <c r="C852" s="6">
        <f t="shared" si="1"/>
        <v>8286</v>
      </c>
      <c r="D852" s="6">
        <f t="shared" ref="D852:D853" si="53">RANDBETWEEN(0, 200)</f>
        <v>50</v>
      </c>
      <c r="E852" s="7">
        <v>0.0</v>
      </c>
      <c r="F852" s="8"/>
      <c r="G852" s="6">
        <f t="shared" si="3"/>
        <v>7646</v>
      </c>
      <c r="H852" s="6">
        <f t="shared" si="4"/>
        <v>15063</v>
      </c>
      <c r="I852" s="6">
        <f t="shared" si="5"/>
        <v>27373</v>
      </c>
      <c r="J852" s="6">
        <f t="shared" si="6"/>
        <v>86473</v>
      </c>
      <c r="K852" s="9"/>
      <c r="L852" s="9"/>
      <c r="M852" s="9"/>
      <c r="N852" s="9">
        <f t="shared" si="7"/>
        <v>10.43603669</v>
      </c>
      <c r="O852" s="10">
        <f t="shared" si="8"/>
        <v>32.51111692</v>
      </c>
      <c r="P852" s="9">
        <v>15.0</v>
      </c>
      <c r="Q852" s="11" t="str">
        <f t="shared" si="9"/>
        <v>cobertura correcta</v>
      </c>
      <c r="R852" s="12"/>
      <c r="S852" s="8"/>
      <c r="T852" s="12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5.75" customHeight="1">
      <c r="A853" s="5" t="s">
        <v>1632</v>
      </c>
      <c r="B853" s="6" t="s">
        <v>1633</v>
      </c>
      <c r="C853" s="6">
        <f t="shared" si="1"/>
        <v>3611</v>
      </c>
      <c r="D853" s="6">
        <f t="shared" si="53"/>
        <v>64</v>
      </c>
      <c r="E853" s="7">
        <v>0.0</v>
      </c>
      <c r="F853" s="8"/>
      <c r="G853" s="6">
        <f t="shared" si="3"/>
        <v>6292</v>
      </c>
      <c r="H853" s="6">
        <f t="shared" si="4"/>
        <v>9922</v>
      </c>
      <c r="I853" s="6">
        <f t="shared" si="5"/>
        <v>28973</v>
      </c>
      <c r="J853" s="6">
        <f t="shared" si="6"/>
        <v>93470</v>
      </c>
      <c r="K853" s="9"/>
      <c r="L853" s="9"/>
      <c r="M853" s="9"/>
      <c r="N853" s="9">
        <f t="shared" si="7"/>
        <v>25.88479646</v>
      </c>
      <c r="O853" s="10">
        <f t="shared" si="8"/>
        <v>17.21710108</v>
      </c>
      <c r="P853" s="9">
        <v>15.0</v>
      </c>
      <c r="Q853" s="11" t="str">
        <f t="shared" si="9"/>
        <v>cobertura correcta</v>
      </c>
      <c r="R853" s="12"/>
      <c r="S853" s="8"/>
      <c r="T853" s="12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5.75" customHeight="1">
      <c r="A854" s="5" t="s">
        <v>1634</v>
      </c>
      <c r="B854" s="6" t="s">
        <v>1635</v>
      </c>
      <c r="C854" s="6">
        <f t="shared" si="1"/>
        <v>7075</v>
      </c>
      <c r="D854" s="7">
        <v>0.0</v>
      </c>
      <c r="E854" s="7">
        <v>0.0</v>
      </c>
      <c r="F854" s="8"/>
      <c r="G854" s="6">
        <f t="shared" si="3"/>
        <v>2604</v>
      </c>
      <c r="H854" s="6">
        <f t="shared" si="4"/>
        <v>15960</v>
      </c>
      <c r="I854" s="6">
        <f t="shared" si="5"/>
        <v>21482</v>
      </c>
      <c r="J854" s="6">
        <f t="shared" si="6"/>
        <v>88274</v>
      </c>
      <c r="K854" s="9"/>
      <c r="L854" s="9"/>
      <c r="M854" s="9"/>
      <c r="N854" s="9">
        <f t="shared" si="7"/>
        <v>12.47689046</v>
      </c>
      <c r="O854" s="10">
        <f t="shared" si="8"/>
        <v>81.50921659</v>
      </c>
      <c r="P854" s="9">
        <v>15.0</v>
      </c>
      <c r="Q854" s="11" t="str">
        <f t="shared" si="9"/>
        <v>cobertura correcta</v>
      </c>
      <c r="R854" s="12"/>
      <c r="S854" s="8"/>
      <c r="T854" s="12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5" t="s">
        <v>1636</v>
      </c>
      <c r="B855" s="6" t="s">
        <v>1637</v>
      </c>
      <c r="C855" s="6">
        <f t="shared" si="1"/>
        <v>6527</v>
      </c>
      <c r="D855" s="6">
        <f t="shared" ref="D855:D857" si="54">RANDBETWEEN(0, 200)</f>
        <v>95</v>
      </c>
      <c r="E855" s="7">
        <v>0.0</v>
      </c>
      <c r="F855" s="8"/>
      <c r="G855" s="6">
        <f t="shared" si="3"/>
        <v>3498</v>
      </c>
      <c r="H855" s="6">
        <f t="shared" si="4"/>
        <v>12674</v>
      </c>
      <c r="I855" s="6">
        <f t="shared" si="5"/>
        <v>20602</v>
      </c>
      <c r="J855" s="6">
        <f t="shared" si="6"/>
        <v>29828</v>
      </c>
      <c r="K855" s="9"/>
      <c r="L855" s="9"/>
      <c r="M855" s="9"/>
      <c r="N855" s="9">
        <f t="shared" si="7"/>
        <v>4.569940248</v>
      </c>
      <c r="O855" s="10">
        <f t="shared" si="8"/>
        <v>55.97770154</v>
      </c>
      <c r="P855" s="9">
        <v>15.0</v>
      </c>
      <c r="Q855" s="11" t="str">
        <f t="shared" si="9"/>
        <v>cobertura correcta</v>
      </c>
      <c r="R855" s="12"/>
      <c r="S855" s="8"/>
      <c r="T855" s="12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5" t="s">
        <v>1638</v>
      </c>
      <c r="B856" s="6" t="s">
        <v>1639</v>
      </c>
      <c r="C856" s="6">
        <f t="shared" si="1"/>
        <v>8184</v>
      </c>
      <c r="D856" s="6">
        <f t="shared" si="54"/>
        <v>112</v>
      </c>
      <c r="E856" s="7">
        <v>0.0</v>
      </c>
      <c r="F856" s="8"/>
      <c r="G856" s="6">
        <f t="shared" si="3"/>
        <v>6905</v>
      </c>
      <c r="H856" s="6">
        <f t="shared" si="4"/>
        <v>9814</v>
      </c>
      <c r="I856" s="6">
        <f t="shared" si="5"/>
        <v>28338</v>
      </c>
      <c r="J856" s="6">
        <f t="shared" si="6"/>
        <v>66297</v>
      </c>
      <c r="K856" s="9"/>
      <c r="L856" s="9"/>
      <c r="M856" s="9"/>
      <c r="N856" s="9">
        <f t="shared" si="7"/>
        <v>8.100806452</v>
      </c>
      <c r="O856" s="10">
        <f t="shared" si="8"/>
        <v>35.55684287</v>
      </c>
      <c r="P856" s="9">
        <v>15.0</v>
      </c>
      <c r="Q856" s="11" t="str">
        <f t="shared" si="9"/>
        <v>cobertura correcta</v>
      </c>
      <c r="R856" s="12"/>
      <c r="S856" s="8"/>
      <c r="T856" s="12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5" t="s">
        <v>1640</v>
      </c>
      <c r="B857" s="6" t="s">
        <v>1641</v>
      </c>
      <c r="C857" s="6">
        <f t="shared" si="1"/>
        <v>4493</v>
      </c>
      <c r="D857" s="6">
        <f t="shared" si="54"/>
        <v>183</v>
      </c>
      <c r="E857" s="7">
        <v>0.0</v>
      </c>
      <c r="F857" s="8"/>
      <c r="G857" s="6">
        <f t="shared" si="3"/>
        <v>5530</v>
      </c>
      <c r="H857" s="6">
        <f t="shared" si="4"/>
        <v>16759</v>
      </c>
      <c r="I857" s="6">
        <f t="shared" si="5"/>
        <v>20290</v>
      </c>
      <c r="J857" s="6">
        <f t="shared" si="6"/>
        <v>33546</v>
      </c>
      <c r="K857" s="9"/>
      <c r="L857" s="9"/>
      <c r="M857" s="9"/>
      <c r="N857" s="9">
        <f t="shared" si="7"/>
        <v>7.466280881</v>
      </c>
      <c r="O857" s="10">
        <f t="shared" si="8"/>
        <v>24.37432188</v>
      </c>
      <c r="P857" s="9">
        <v>15.0</v>
      </c>
      <c r="Q857" s="11" t="str">
        <f t="shared" si="9"/>
        <v>cobertura correcta</v>
      </c>
      <c r="R857" s="12"/>
      <c r="S857" s="8"/>
      <c r="T857" s="12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5" t="s">
        <v>1642</v>
      </c>
      <c r="B858" s="6" t="s">
        <v>1643</v>
      </c>
      <c r="C858" s="6">
        <f t="shared" si="1"/>
        <v>4342</v>
      </c>
      <c r="D858" s="7">
        <v>0.0</v>
      </c>
      <c r="E858" s="7">
        <v>0.0</v>
      </c>
      <c r="F858" s="8"/>
      <c r="G858" s="6">
        <f t="shared" si="3"/>
        <v>8150</v>
      </c>
      <c r="H858" s="6">
        <f t="shared" si="4"/>
        <v>9347</v>
      </c>
      <c r="I858" s="6">
        <f t="shared" si="5"/>
        <v>28234</v>
      </c>
      <c r="J858" s="6">
        <f t="shared" si="6"/>
        <v>57030</v>
      </c>
      <c r="K858" s="9"/>
      <c r="L858" s="9"/>
      <c r="M858" s="9"/>
      <c r="N858" s="9">
        <f t="shared" si="7"/>
        <v>13.13450023</v>
      </c>
      <c r="O858" s="10">
        <f t="shared" si="8"/>
        <v>15.98282209</v>
      </c>
      <c r="P858" s="9">
        <v>7.0</v>
      </c>
      <c r="Q858" s="11" t="str">
        <f t="shared" si="9"/>
        <v>cobertura correcta</v>
      </c>
      <c r="R858" s="12"/>
      <c r="S858" s="8"/>
      <c r="T858" s="12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5" t="s">
        <v>1644</v>
      </c>
      <c r="B859" s="6" t="s">
        <v>1645</v>
      </c>
      <c r="C859" s="6">
        <f t="shared" si="1"/>
        <v>1560</v>
      </c>
      <c r="D859" s="6">
        <f t="shared" ref="D859:D973" si="55">RANDBETWEEN(0, 200)</f>
        <v>103</v>
      </c>
      <c r="E859" s="7">
        <v>0.0</v>
      </c>
      <c r="F859" s="8"/>
      <c r="G859" s="6">
        <f t="shared" si="3"/>
        <v>7382</v>
      </c>
      <c r="H859" s="6">
        <f t="shared" si="4"/>
        <v>10119</v>
      </c>
      <c r="I859" s="6">
        <f t="shared" si="5"/>
        <v>20955</v>
      </c>
      <c r="J859" s="6">
        <f t="shared" si="6"/>
        <v>96015</v>
      </c>
      <c r="K859" s="9"/>
      <c r="L859" s="9"/>
      <c r="M859" s="9"/>
      <c r="N859" s="9">
        <f t="shared" si="7"/>
        <v>61.54807692</v>
      </c>
      <c r="O859" s="10">
        <f t="shared" si="8"/>
        <v>6.339745326</v>
      </c>
      <c r="P859" s="9">
        <v>7.0</v>
      </c>
      <c r="Q859" s="11" t="str">
        <f t="shared" si="9"/>
        <v>¡Compra YA!</v>
      </c>
      <c r="R859" s="12"/>
      <c r="S859" s="8"/>
      <c r="T859" s="12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5" t="s">
        <v>1646</v>
      </c>
      <c r="B860" s="6" t="s">
        <v>1647</v>
      </c>
      <c r="C860" s="6">
        <f t="shared" si="1"/>
        <v>6399</v>
      </c>
      <c r="D860" s="6">
        <f t="shared" si="55"/>
        <v>29</v>
      </c>
      <c r="E860" s="7">
        <v>0.0</v>
      </c>
      <c r="F860" s="8"/>
      <c r="G860" s="6">
        <f t="shared" si="3"/>
        <v>6918</v>
      </c>
      <c r="H860" s="6">
        <f t="shared" si="4"/>
        <v>18461</v>
      </c>
      <c r="I860" s="6">
        <f t="shared" si="5"/>
        <v>20904</v>
      </c>
      <c r="J860" s="6">
        <f t="shared" si="6"/>
        <v>42093</v>
      </c>
      <c r="K860" s="9"/>
      <c r="L860" s="9"/>
      <c r="M860" s="9"/>
      <c r="N860" s="9">
        <f t="shared" si="7"/>
        <v>6.578059072</v>
      </c>
      <c r="O860" s="10">
        <f t="shared" si="8"/>
        <v>27.74934952</v>
      </c>
      <c r="P860" s="9">
        <v>7.0</v>
      </c>
      <c r="Q860" s="11" t="str">
        <f t="shared" si="9"/>
        <v>cobertura correcta</v>
      </c>
      <c r="R860" s="12"/>
      <c r="S860" s="8"/>
      <c r="T860" s="12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5" t="s">
        <v>1648</v>
      </c>
      <c r="B861" s="6" t="s">
        <v>1649</v>
      </c>
      <c r="C861" s="6">
        <f t="shared" si="1"/>
        <v>6996</v>
      </c>
      <c r="D861" s="6">
        <f t="shared" si="55"/>
        <v>100</v>
      </c>
      <c r="E861" s="7">
        <v>0.0</v>
      </c>
      <c r="F861" s="8"/>
      <c r="G861" s="6">
        <f t="shared" si="3"/>
        <v>3384</v>
      </c>
      <c r="H861" s="6">
        <f t="shared" si="4"/>
        <v>18336</v>
      </c>
      <c r="I861" s="6">
        <f t="shared" si="5"/>
        <v>19721</v>
      </c>
      <c r="J861" s="6">
        <f t="shared" si="6"/>
        <v>40653</v>
      </c>
      <c r="K861" s="9"/>
      <c r="L861" s="9"/>
      <c r="M861" s="9"/>
      <c r="N861" s="9">
        <f t="shared" si="7"/>
        <v>5.810891938</v>
      </c>
      <c r="O861" s="10">
        <f t="shared" si="8"/>
        <v>62.0212766</v>
      </c>
      <c r="P861" s="9">
        <v>7.0</v>
      </c>
      <c r="Q861" s="11" t="str">
        <f t="shared" si="9"/>
        <v>cobertura correcta</v>
      </c>
      <c r="R861" s="12"/>
      <c r="S861" s="8"/>
      <c r="T861" s="12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5" t="s">
        <v>1650</v>
      </c>
      <c r="B862" s="6" t="s">
        <v>1651</v>
      </c>
      <c r="C862" s="6">
        <f t="shared" si="1"/>
        <v>4019</v>
      </c>
      <c r="D862" s="6">
        <f t="shared" si="55"/>
        <v>110</v>
      </c>
      <c r="E862" s="7">
        <v>0.0</v>
      </c>
      <c r="F862" s="8"/>
      <c r="G862" s="6">
        <f t="shared" si="3"/>
        <v>4594</v>
      </c>
      <c r="H862" s="6">
        <f t="shared" si="4"/>
        <v>14300</v>
      </c>
      <c r="I862" s="6">
        <f t="shared" si="5"/>
        <v>24054</v>
      </c>
      <c r="J862" s="6">
        <f t="shared" si="6"/>
        <v>72236</v>
      </c>
      <c r="K862" s="9"/>
      <c r="L862" s="9"/>
      <c r="M862" s="9"/>
      <c r="N862" s="9">
        <f t="shared" si="7"/>
        <v>17.97362528</v>
      </c>
      <c r="O862" s="10">
        <f t="shared" si="8"/>
        <v>26.24510231</v>
      </c>
      <c r="P862" s="9">
        <v>7.0</v>
      </c>
      <c r="Q862" s="11" t="str">
        <f t="shared" si="9"/>
        <v>cobertura correcta</v>
      </c>
      <c r="R862" s="12"/>
      <c r="S862" s="8"/>
      <c r="T862" s="12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5" t="s">
        <v>1652</v>
      </c>
      <c r="B863" s="6" t="s">
        <v>1653</v>
      </c>
      <c r="C863" s="6">
        <f t="shared" si="1"/>
        <v>4790</v>
      </c>
      <c r="D863" s="6">
        <f t="shared" si="55"/>
        <v>160</v>
      </c>
      <c r="E863" s="7">
        <v>0.0</v>
      </c>
      <c r="F863" s="8"/>
      <c r="G863" s="6">
        <f t="shared" si="3"/>
        <v>7838</v>
      </c>
      <c r="H863" s="6">
        <f t="shared" si="4"/>
        <v>9299</v>
      </c>
      <c r="I863" s="6">
        <f t="shared" si="5"/>
        <v>25302</v>
      </c>
      <c r="J863" s="6">
        <f t="shared" si="6"/>
        <v>69483</v>
      </c>
      <c r="K863" s="9"/>
      <c r="L863" s="9"/>
      <c r="M863" s="9"/>
      <c r="N863" s="9">
        <f t="shared" si="7"/>
        <v>14.50584551</v>
      </c>
      <c r="O863" s="10">
        <f t="shared" si="8"/>
        <v>18.33375861</v>
      </c>
      <c r="P863" s="9">
        <v>7.0</v>
      </c>
      <c r="Q863" s="11" t="str">
        <f t="shared" si="9"/>
        <v>cobertura correcta</v>
      </c>
      <c r="R863" s="12"/>
      <c r="S863" s="8"/>
      <c r="T863" s="12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5" t="s">
        <v>1654</v>
      </c>
      <c r="B864" s="6" t="s">
        <v>1655</v>
      </c>
      <c r="C864" s="6">
        <f t="shared" si="1"/>
        <v>1351</v>
      </c>
      <c r="D864" s="6">
        <f t="shared" si="55"/>
        <v>14</v>
      </c>
      <c r="E864" s="7">
        <v>0.0</v>
      </c>
      <c r="F864" s="8"/>
      <c r="G864" s="6">
        <f t="shared" si="3"/>
        <v>1582</v>
      </c>
      <c r="H864" s="6">
        <f t="shared" si="4"/>
        <v>17319</v>
      </c>
      <c r="I864" s="6">
        <f t="shared" si="5"/>
        <v>28037</v>
      </c>
      <c r="J864" s="6">
        <f t="shared" si="6"/>
        <v>37610</v>
      </c>
      <c r="K864" s="9"/>
      <c r="L864" s="9"/>
      <c r="M864" s="9"/>
      <c r="N864" s="9">
        <f t="shared" si="7"/>
        <v>27.83863805</v>
      </c>
      <c r="O864" s="10">
        <f t="shared" si="8"/>
        <v>25.61946903</v>
      </c>
      <c r="P864" s="9">
        <v>7.0</v>
      </c>
      <c r="Q864" s="11" t="str">
        <f t="shared" si="9"/>
        <v>cobertura correcta</v>
      </c>
      <c r="R864" s="12"/>
      <c r="S864" s="8"/>
      <c r="T864" s="12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5" t="s">
        <v>1656</v>
      </c>
      <c r="B865" s="6" t="s">
        <v>1657</v>
      </c>
      <c r="C865" s="6">
        <f t="shared" si="1"/>
        <v>4580</v>
      </c>
      <c r="D865" s="6">
        <f t="shared" si="55"/>
        <v>159</v>
      </c>
      <c r="E865" s="7">
        <v>0.0</v>
      </c>
      <c r="F865" s="8"/>
      <c r="G865" s="6">
        <f t="shared" si="3"/>
        <v>3067</v>
      </c>
      <c r="H865" s="6">
        <f t="shared" si="4"/>
        <v>9599</v>
      </c>
      <c r="I865" s="6">
        <f t="shared" si="5"/>
        <v>21732</v>
      </c>
      <c r="J865" s="6">
        <f t="shared" si="6"/>
        <v>36628</v>
      </c>
      <c r="K865" s="9"/>
      <c r="L865" s="9"/>
      <c r="M865" s="9"/>
      <c r="N865" s="9">
        <f t="shared" si="7"/>
        <v>7.997379913</v>
      </c>
      <c r="O865" s="10">
        <f t="shared" si="8"/>
        <v>44.79947832</v>
      </c>
      <c r="P865" s="9">
        <v>7.0</v>
      </c>
      <c r="Q865" s="11" t="str">
        <f t="shared" si="9"/>
        <v>cobertura correcta</v>
      </c>
      <c r="R865" s="12"/>
      <c r="S865" s="8"/>
      <c r="T865" s="12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5" t="s">
        <v>1658</v>
      </c>
      <c r="B866" s="6" t="s">
        <v>1659</v>
      </c>
      <c r="C866" s="6">
        <f t="shared" si="1"/>
        <v>5245</v>
      </c>
      <c r="D866" s="6">
        <f t="shared" si="55"/>
        <v>73</v>
      </c>
      <c r="E866" s="7">
        <v>0.0</v>
      </c>
      <c r="F866" s="8"/>
      <c r="G866" s="6">
        <f t="shared" si="3"/>
        <v>6551</v>
      </c>
      <c r="H866" s="6">
        <f t="shared" si="4"/>
        <v>14913</v>
      </c>
      <c r="I866" s="6">
        <f t="shared" si="5"/>
        <v>28982</v>
      </c>
      <c r="J866" s="6">
        <f t="shared" si="6"/>
        <v>93108</v>
      </c>
      <c r="K866" s="9"/>
      <c r="L866" s="9"/>
      <c r="M866" s="9"/>
      <c r="N866" s="9">
        <f t="shared" si="7"/>
        <v>17.75176358</v>
      </c>
      <c r="O866" s="10">
        <f t="shared" si="8"/>
        <v>24.0192337</v>
      </c>
      <c r="P866" s="9">
        <v>7.0</v>
      </c>
      <c r="Q866" s="11" t="str">
        <f t="shared" si="9"/>
        <v>cobertura correcta</v>
      </c>
      <c r="R866" s="12"/>
      <c r="S866" s="8"/>
      <c r="T866" s="12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5" t="s">
        <v>1660</v>
      </c>
      <c r="B867" s="6" t="s">
        <v>1661</v>
      </c>
      <c r="C867" s="6">
        <f t="shared" si="1"/>
        <v>2803</v>
      </c>
      <c r="D867" s="6">
        <f t="shared" si="55"/>
        <v>75</v>
      </c>
      <c r="E867" s="7">
        <v>0.0</v>
      </c>
      <c r="F867" s="8"/>
      <c r="G867" s="6">
        <f t="shared" si="3"/>
        <v>8480</v>
      </c>
      <c r="H867" s="6">
        <f t="shared" si="4"/>
        <v>16296</v>
      </c>
      <c r="I867" s="6">
        <f t="shared" si="5"/>
        <v>25742</v>
      </c>
      <c r="J867" s="6">
        <f t="shared" si="6"/>
        <v>47271</v>
      </c>
      <c r="K867" s="9"/>
      <c r="L867" s="9"/>
      <c r="M867" s="9"/>
      <c r="N867" s="9">
        <f t="shared" si="7"/>
        <v>16.86443097</v>
      </c>
      <c r="O867" s="10">
        <f t="shared" si="8"/>
        <v>9.916273585</v>
      </c>
      <c r="P867" s="9">
        <v>7.0</v>
      </c>
      <c r="Q867" s="11" t="str">
        <f t="shared" si="9"/>
        <v>cobertura correcta</v>
      </c>
      <c r="R867" s="12"/>
      <c r="S867" s="8"/>
      <c r="T867" s="12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5" t="s">
        <v>1662</v>
      </c>
      <c r="B868" s="6" t="s">
        <v>1663</v>
      </c>
      <c r="C868" s="6">
        <f t="shared" si="1"/>
        <v>2083</v>
      </c>
      <c r="D868" s="6">
        <f t="shared" si="55"/>
        <v>135</v>
      </c>
      <c r="E868" s="7">
        <v>0.0</v>
      </c>
      <c r="F868" s="8"/>
      <c r="G868" s="6">
        <f t="shared" si="3"/>
        <v>7587</v>
      </c>
      <c r="H868" s="6">
        <f t="shared" si="4"/>
        <v>17089</v>
      </c>
      <c r="I868" s="6">
        <f t="shared" si="5"/>
        <v>23762</v>
      </c>
      <c r="J868" s="6">
        <f t="shared" si="6"/>
        <v>40658</v>
      </c>
      <c r="K868" s="9"/>
      <c r="L868" s="9"/>
      <c r="M868" s="9"/>
      <c r="N868" s="9">
        <f t="shared" si="7"/>
        <v>19.51896303</v>
      </c>
      <c r="O868" s="10">
        <f t="shared" si="8"/>
        <v>8.236457098</v>
      </c>
      <c r="P868" s="9">
        <v>7.0</v>
      </c>
      <c r="Q868" s="11" t="str">
        <f t="shared" si="9"/>
        <v>cobertura correcta</v>
      </c>
      <c r="R868" s="12"/>
      <c r="S868" s="8"/>
      <c r="T868" s="12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5" t="s">
        <v>1664</v>
      </c>
      <c r="B869" s="6" t="s">
        <v>1665</v>
      </c>
      <c r="C869" s="6">
        <f t="shared" si="1"/>
        <v>4110</v>
      </c>
      <c r="D869" s="6">
        <f t="shared" si="55"/>
        <v>15</v>
      </c>
      <c r="E869" s="7">
        <v>0.0</v>
      </c>
      <c r="F869" s="8"/>
      <c r="G869" s="6">
        <f t="shared" si="3"/>
        <v>7716</v>
      </c>
      <c r="H869" s="6">
        <f t="shared" si="4"/>
        <v>11020</v>
      </c>
      <c r="I869" s="6">
        <f t="shared" si="5"/>
        <v>26732</v>
      </c>
      <c r="J869" s="6">
        <f t="shared" si="6"/>
        <v>58477</v>
      </c>
      <c r="K869" s="9"/>
      <c r="L869" s="9"/>
      <c r="M869" s="9"/>
      <c r="N869" s="9">
        <f t="shared" si="7"/>
        <v>14.22798054</v>
      </c>
      <c r="O869" s="10">
        <f t="shared" si="8"/>
        <v>15.97978227</v>
      </c>
      <c r="P869" s="9">
        <v>7.0</v>
      </c>
      <c r="Q869" s="11" t="str">
        <f t="shared" si="9"/>
        <v>cobertura correcta</v>
      </c>
      <c r="R869" s="12"/>
      <c r="S869" s="8"/>
      <c r="T869" s="12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5" t="s">
        <v>1666</v>
      </c>
      <c r="B870" s="6" t="s">
        <v>1667</v>
      </c>
      <c r="C870" s="6">
        <f t="shared" si="1"/>
        <v>4245</v>
      </c>
      <c r="D870" s="6">
        <f t="shared" si="55"/>
        <v>169</v>
      </c>
      <c r="E870" s="7">
        <v>0.0</v>
      </c>
      <c r="F870" s="8"/>
      <c r="G870" s="6">
        <f t="shared" si="3"/>
        <v>7107</v>
      </c>
      <c r="H870" s="6">
        <f t="shared" si="4"/>
        <v>12559</v>
      </c>
      <c r="I870" s="6">
        <f t="shared" si="5"/>
        <v>25559</v>
      </c>
      <c r="J870" s="6">
        <f t="shared" si="6"/>
        <v>64573</v>
      </c>
      <c r="K870" s="9"/>
      <c r="L870" s="9"/>
      <c r="M870" s="9"/>
      <c r="N870" s="9">
        <f t="shared" si="7"/>
        <v>15.21154299</v>
      </c>
      <c r="O870" s="10">
        <f t="shared" si="8"/>
        <v>17.91895314</v>
      </c>
      <c r="P870" s="9">
        <v>7.0</v>
      </c>
      <c r="Q870" s="11" t="str">
        <f t="shared" si="9"/>
        <v>cobertura correcta</v>
      </c>
      <c r="R870" s="12"/>
      <c r="S870" s="8"/>
      <c r="T870" s="12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5" t="s">
        <v>1668</v>
      </c>
      <c r="B871" s="6" t="s">
        <v>1669</v>
      </c>
      <c r="C871" s="6">
        <f t="shared" si="1"/>
        <v>7104</v>
      </c>
      <c r="D871" s="6">
        <f t="shared" si="55"/>
        <v>51</v>
      </c>
      <c r="E871" s="7">
        <v>0.0</v>
      </c>
      <c r="F871" s="8"/>
      <c r="G871" s="6">
        <f t="shared" si="3"/>
        <v>4351</v>
      </c>
      <c r="H871" s="6">
        <f t="shared" si="4"/>
        <v>14771</v>
      </c>
      <c r="I871" s="6">
        <f t="shared" si="5"/>
        <v>27901</v>
      </c>
      <c r="J871" s="6">
        <f t="shared" si="6"/>
        <v>43841</v>
      </c>
      <c r="K871" s="9"/>
      <c r="L871" s="9"/>
      <c r="M871" s="9"/>
      <c r="N871" s="9">
        <f t="shared" si="7"/>
        <v>6.171311937</v>
      </c>
      <c r="O871" s="10">
        <f t="shared" si="8"/>
        <v>48.98184325</v>
      </c>
      <c r="P871" s="9">
        <v>7.0</v>
      </c>
      <c r="Q871" s="11" t="str">
        <f t="shared" si="9"/>
        <v>cobertura correcta</v>
      </c>
      <c r="R871" s="12"/>
      <c r="S871" s="8"/>
      <c r="T871" s="12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5" t="s">
        <v>1670</v>
      </c>
      <c r="B872" s="6" t="s">
        <v>1671</v>
      </c>
      <c r="C872" s="6">
        <f t="shared" si="1"/>
        <v>8728</v>
      </c>
      <c r="D872" s="6">
        <f t="shared" si="55"/>
        <v>192</v>
      </c>
      <c r="E872" s="7">
        <v>0.0</v>
      </c>
      <c r="F872" s="8"/>
      <c r="G872" s="6">
        <f t="shared" si="3"/>
        <v>1581</v>
      </c>
      <c r="H872" s="6">
        <f t="shared" si="4"/>
        <v>15970</v>
      </c>
      <c r="I872" s="6">
        <f t="shared" si="5"/>
        <v>22847</v>
      </c>
      <c r="J872" s="6">
        <f t="shared" si="6"/>
        <v>59641</v>
      </c>
      <c r="K872" s="9"/>
      <c r="L872" s="9"/>
      <c r="M872" s="9"/>
      <c r="N872" s="9">
        <f t="shared" si="7"/>
        <v>6.833295142</v>
      </c>
      <c r="O872" s="10">
        <f t="shared" si="8"/>
        <v>165.6166983</v>
      </c>
      <c r="P872" s="9">
        <v>7.0</v>
      </c>
      <c r="Q872" s="11" t="str">
        <f t="shared" si="9"/>
        <v>cobertura correcta</v>
      </c>
      <c r="R872" s="12"/>
      <c r="S872" s="8"/>
      <c r="T872" s="12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5" t="s">
        <v>1672</v>
      </c>
      <c r="B873" s="6" t="s">
        <v>1673</v>
      </c>
      <c r="C873" s="6">
        <f t="shared" si="1"/>
        <v>8498</v>
      </c>
      <c r="D873" s="6">
        <f t="shared" si="55"/>
        <v>31</v>
      </c>
      <c r="E873" s="7">
        <v>0.0</v>
      </c>
      <c r="F873" s="8"/>
      <c r="G873" s="6">
        <f t="shared" si="3"/>
        <v>6131</v>
      </c>
      <c r="H873" s="6">
        <f t="shared" si="4"/>
        <v>15826</v>
      </c>
      <c r="I873" s="6">
        <f t="shared" si="5"/>
        <v>28796</v>
      </c>
      <c r="J873" s="6">
        <f t="shared" si="6"/>
        <v>80929</v>
      </c>
      <c r="K873" s="9"/>
      <c r="L873" s="9"/>
      <c r="M873" s="9"/>
      <c r="N873" s="9">
        <f t="shared" si="7"/>
        <v>9.5232996</v>
      </c>
      <c r="O873" s="10">
        <f t="shared" si="8"/>
        <v>41.58212363</v>
      </c>
      <c r="P873" s="9">
        <v>7.0</v>
      </c>
      <c r="Q873" s="11" t="str">
        <f t="shared" si="9"/>
        <v>cobertura correcta</v>
      </c>
      <c r="R873" s="12"/>
      <c r="S873" s="8"/>
      <c r="T873" s="12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5" t="s">
        <v>1674</v>
      </c>
      <c r="B874" s="6" t="s">
        <v>1675</v>
      </c>
      <c r="C874" s="6">
        <f t="shared" si="1"/>
        <v>3338</v>
      </c>
      <c r="D874" s="6">
        <f t="shared" si="55"/>
        <v>13</v>
      </c>
      <c r="E874" s="7">
        <v>0.0</v>
      </c>
      <c r="F874" s="8"/>
      <c r="G874" s="6">
        <f t="shared" si="3"/>
        <v>5909</v>
      </c>
      <c r="H874" s="6">
        <f t="shared" si="4"/>
        <v>13133</v>
      </c>
      <c r="I874" s="6">
        <f t="shared" si="5"/>
        <v>24344</v>
      </c>
      <c r="J874" s="6">
        <f t="shared" si="6"/>
        <v>91302</v>
      </c>
      <c r="K874" s="9"/>
      <c r="L874" s="9"/>
      <c r="M874" s="9"/>
      <c r="N874" s="9">
        <f t="shared" si="7"/>
        <v>27.35230677</v>
      </c>
      <c r="O874" s="10">
        <f t="shared" si="8"/>
        <v>16.94702995</v>
      </c>
      <c r="P874" s="9">
        <v>7.0</v>
      </c>
      <c r="Q874" s="11" t="str">
        <f t="shared" si="9"/>
        <v>cobertura correcta</v>
      </c>
      <c r="R874" s="12"/>
      <c r="S874" s="8"/>
      <c r="T874" s="12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5" t="s">
        <v>1676</v>
      </c>
      <c r="B875" s="6" t="s">
        <v>1677</v>
      </c>
      <c r="C875" s="6">
        <f t="shared" si="1"/>
        <v>6761</v>
      </c>
      <c r="D875" s="6">
        <f t="shared" si="55"/>
        <v>74</v>
      </c>
      <c r="E875" s="7">
        <v>0.0</v>
      </c>
      <c r="F875" s="8"/>
      <c r="G875" s="6">
        <f t="shared" si="3"/>
        <v>6041</v>
      </c>
      <c r="H875" s="6">
        <f t="shared" si="4"/>
        <v>11088</v>
      </c>
      <c r="I875" s="6">
        <f t="shared" si="5"/>
        <v>20678</v>
      </c>
      <c r="J875" s="6">
        <f t="shared" si="6"/>
        <v>49858</v>
      </c>
      <c r="K875" s="9"/>
      <c r="L875" s="9"/>
      <c r="M875" s="9"/>
      <c r="N875" s="9">
        <f t="shared" si="7"/>
        <v>7.374352906</v>
      </c>
      <c r="O875" s="10">
        <f t="shared" si="8"/>
        <v>33.57556696</v>
      </c>
      <c r="P875" s="9">
        <v>7.0</v>
      </c>
      <c r="Q875" s="11" t="str">
        <f t="shared" si="9"/>
        <v>cobertura correcta</v>
      </c>
      <c r="R875" s="12"/>
      <c r="S875" s="8"/>
      <c r="T875" s="12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5" t="s">
        <v>1678</v>
      </c>
      <c r="B876" s="6" t="s">
        <v>1679</v>
      </c>
      <c r="C876" s="6">
        <f t="shared" si="1"/>
        <v>5568</v>
      </c>
      <c r="D876" s="6">
        <f t="shared" si="55"/>
        <v>155</v>
      </c>
      <c r="E876" s="7">
        <v>0.0</v>
      </c>
      <c r="F876" s="8"/>
      <c r="G876" s="6">
        <f t="shared" si="3"/>
        <v>5460</v>
      </c>
      <c r="H876" s="6">
        <f t="shared" si="4"/>
        <v>10598</v>
      </c>
      <c r="I876" s="6">
        <f t="shared" si="5"/>
        <v>28776</v>
      </c>
      <c r="J876" s="6">
        <f t="shared" si="6"/>
        <v>94609</v>
      </c>
      <c r="K876" s="9"/>
      <c r="L876" s="9"/>
      <c r="M876" s="9"/>
      <c r="N876" s="9">
        <f t="shared" si="7"/>
        <v>16.99155891</v>
      </c>
      <c r="O876" s="10">
        <f t="shared" si="8"/>
        <v>30.59340659</v>
      </c>
      <c r="P876" s="9">
        <v>7.0</v>
      </c>
      <c r="Q876" s="11" t="str">
        <f t="shared" si="9"/>
        <v>cobertura correcta</v>
      </c>
      <c r="R876" s="12"/>
      <c r="S876" s="8"/>
      <c r="T876" s="12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5" t="s">
        <v>1680</v>
      </c>
      <c r="B877" s="6" t="s">
        <v>1681</v>
      </c>
      <c r="C877" s="6">
        <f t="shared" si="1"/>
        <v>2561</v>
      </c>
      <c r="D877" s="6">
        <f t="shared" si="55"/>
        <v>124</v>
      </c>
      <c r="E877" s="7">
        <v>0.0</v>
      </c>
      <c r="F877" s="8"/>
      <c r="G877" s="6">
        <f t="shared" si="3"/>
        <v>5214</v>
      </c>
      <c r="H877" s="6">
        <f t="shared" si="4"/>
        <v>14032</v>
      </c>
      <c r="I877" s="6">
        <f t="shared" si="5"/>
        <v>19928</v>
      </c>
      <c r="J877" s="6">
        <f t="shared" si="6"/>
        <v>47939</v>
      </c>
      <c r="K877" s="9"/>
      <c r="L877" s="9"/>
      <c r="M877" s="9"/>
      <c r="N877" s="9">
        <f t="shared" si="7"/>
        <v>18.71885982</v>
      </c>
      <c r="O877" s="10">
        <f t="shared" si="8"/>
        <v>14.73532796</v>
      </c>
      <c r="P877" s="9">
        <v>7.0</v>
      </c>
      <c r="Q877" s="11" t="str">
        <f t="shared" si="9"/>
        <v>cobertura correcta</v>
      </c>
      <c r="R877" s="12"/>
      <c r="S877" s="8"/>
      <c r="T877" s="12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5" t="s">
        <v>1682</v>
      </c>
      <c r="B878" s="6" t="s">
        <v>1683</v>
      </c>
      <c r="C878" s="6">
        <f t="shared" si="1"/>
        <v>3780</v>
      </c>
      <c r="D878" s="6">
        <f t="shared" si="55"/>
        <v>188</v>
      </c>
      <c r="E878" s="7">
        <v>0.0</v>
      </c>
      <c r="F878" s="8"/>
      <c r="G878" s="6">
        <f t="shared" si="3"/>
        <v>2771</v>
      </c>
      <c r="H878" s="6">
        <f t="shared" si="4"/>
        <v>9102</v>
      </c>
      <c r="I878" s="6">
        <f t="shared" si="5"/>
        <v>19743</v>
      </c>
      <c r="J878" s="6">
        <f t="shared" si="6"/>
        <v>38827</v>
      </c>
      <c r="K878" s="9"/>
      <c r="L878" s="9"/>
      <c r="M878" s="9"/>
      <c r="N878" s="9">
        <f t="shared" si="7"/>
        <v>10.27169312</v>
      </c>
      <c r="O878" s="10">
        <f t="shared" si="8"/>
        <v>40.9238542</v>
      </c>
      <c r="P878" s="9">
        <v>7.0</v>
      </c>
      <c r="Q878" s="11" t="str">
        <f t="shared" si="9"/>
        <v>cobertura correcta</v>
      </c>
      <c r="R878" s="12"/>
      <c r="S878" s="8"/>
      <c r="T878" s="12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5" t="s">
        <v>1684</v>
      </c>
      <c r="B879" s="6" t="s">
        <v>1685</v>
      </c>
      <c r="C879" s="6">
        <f t="shared" si="1"/>
        <v>1124</v>
      </c>
      <c r="D879" s="6">
        <f t="shared" si="55"/>
        <v>17</v>
      </c>
      <c r="E879" s="7">
        <v>0.0</v>
      </c>
      <c r="F879" s="8"/>
      <c r="G879" s="6">
        <f t="shared" si="3"/>
        <v>5624</v>
      </c>
      <c r="H879" s="6">
        <f t="shared" si="4"/>
        <v>12925</v>
      </c>
      <c r="I879" s="6">
        <f t="shared" si="5"/>
        <v>22555</v>
      </c>
      <c r="J879" s="6">
        <f t="shared" si="6"/>
        <v>75805</v>
      </c>
      <c r="K879" s="9"/>
      <c r="L879" s="9"/>
      <c r="M879" s="9"/>
      <c r="N879" s="9">
        <f t="shared" si="7"/>
        <v>67.44217082</v>
      </c>
      <c r="O879" s="10">
        <f t="shared" si="8"/>
        <v>5.995732575</v>
      </c>
      <c r="P879" s="9">
        <v>7.0</v>
      </c>
      <c r="Q879" s="11" t="str">
        <f t="shared" si="9"/>
        <v>¡Compra YA!</v>
      </c>
      <c r="R879" s="12"/>
      <c r="S879" s="8"/>
      <c r="T879" s="12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5" t="s">
        <v>1686</v>
      </c>
      <c r="B880" s="6" t="s">
        <v>1687</v>
      </c>
      <c r="C880" s="6">
        <f t="shared" si="1"/>
        <v>2343</v>
      </c>
      <c r="D880" s="6">
        <f t="shared" si="55"/>
        <v>61</v>
      </c>
      <c r="E880" s="7">
        <v>0.0</v>
      </c>
      <c r="F880" s="8"/>
      <c r="G880" s="6">
        <f t="shared" si="3"/>
        <v>4886</v>
      </c>
      <c r="H880" s="6">
        <f t="shared" si="4"/>
        <v>10991</v>
      </c>
      <c r="I880" s="6">
        <f t="shared" si="5"/>
        <v>20101</v>
      </c>
      <c r="J880" s="6">
        <f t="shared" si="6"/>
        <v>32711</v>
      </c>
      <c r="K880" s="9"/>
      <c r="L880" s="9"/>
      <c r="M880" s="9"/>
      <c r="N880" s="9">
        <f t="shared" si="7"/>
        <v>13.9611609</v>
      </c>
      <c r="O880" s="10">
        <f t="shared" si="8"/>
        <v>14.38600082</v>
      </c>
      <c r="P880" s="9">
        <v>20.0</v>
      </c>
      <c r="Q880" s="11" t="str">
        <f t="shared" si="9"/>
        <v>¡Compra YA!</v>
      </c>
      <c r="R880" s="12"/>
      <c r="S880" s="8"/>
      <c r="T880" s="12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5" t="s">
        <v>1688</v>
      </c>
      <c r="B881" s="6" t="s">
        <v>1689</v>
      </c>
      <c r="C881" s="6">
        <f t="shared" si="1"/>
        <v>2513</v>
      </c>
      <c r="D881" s="6">
        <f t="shared" si="55"/>
        <v>72</v>
      </c>
      <c r="E881" s="7">
        <v>0.0</v>
      </c>
      <c r="F881" s="8"/>
      <c r="G881" s="6">
        <f t="shared" si="3"/>
        <v>6534</v>
      </c>
      <c r="H881" s="6">
        <f t="shared" si="4"/>
        <v>18879</v>
      </c>
      <c r="I881" s="6">
        <f t="shared" si="5"/>
        <v>27142</v>
      </c>
      <c r="J881" s="6">
        <f t="shared" si="6"/>
        <v>30745</v>
      </c>
      <c r="K881" s="9"/>
      <c r="L881" s="9"/>
      <c r="M881" s="9"/>
      <c r="N881" s="9">
        <f t="shared" si="7"/>
        <v>12.23438122</v>
      </c>
      <c r="O881" s="10">
        <f t="shared" si="8"/>
        <v>11.53810836</v>
      </c>
      <c r="P881" s="9">
        <v>20.0</v>
      </c>
      <c r="Q881" s="11" t="str">
        <f t="shared" si="9"/>
        <v>¡Compra YA!</v>
      </c>
      <c r="R881" s="12"/>
      <c r="S881" s="8"/>
      <c r="T881" s="12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5" t="s">
        <v>1690</v>
      </c>
      <c r="B882" s="6" t="s">
        <v>1691</v>
      </c>
      <c r="C882" s="6">
        <f t="shared" si="1"/>
        <v>5147</v>
      </c>
      <c r="D882" s="6">
        <f t="shared" si="55"/>
        <v>113</v>
      </c>
      <c r="E882" s="7">
        <v>0.0</v>
      </c>
      <c r="F882" s="8"/>
      <c r="G882" s="6">
        <f t="shared" si="3"/>
        <v>4973</v>
      </c>
      <c r="H882" s="6">
        <f t="shared" si="4"/>
        <v>9031</v>
      </c>
      <c r="I882" s="6">
        <f t="shared" si="5"/>
        <v>26953</v>
      </c>
      <c r="J882" s="6">
        <f t="shared" si="6"/>
        <v>34972</v>
      </c>
      <c r="K882" s="9"/>
      <c r="L882" s="9"/>
      <c r="M882" s="9"/>
      <c r="N882" s="9">
        <f t="shared" si="7"/>
        <v>6.794637653</v>
      </c>
      <c r="O882" s="10">
        <f t="shared" si="8"/>
        <v>31.04966821</v>
      </c>
      <c r="P882" s="9">
        <v>20.0</v>
      </c>
      <c r="Q882" s="11" t="str">
        <f t="shared" si="9"/>
        <v>cobertura correcta</v>
      </c>
      <c r="R882" s="12"/>
      <c r="S882" s="8"/>
      <c r="T882" s="12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5" t="s">
        <v>1692</v>
      </c>
      <c r="B883" s="6" t="s">
        <v>1693</v>
      </c>
      <c r="C883" s="6">
        <f t="shared" si="1"/>
        <v>7353</v>
      </c>
      <c r="D883" s="6">
        <f t="shared" si="55"/>
        <v>82</v>
      </c>
      <c r="E883" s="7">
        <v>0.0</v>
      </c>
      <c r="F883" s="8"/>
      <c r="G883" s="6">
        <f t="shared" si="3"/>
        <v>4891</v>
      </c>
      <c r="H883" s="6">
        <f t="shared" si="4"/>
        <v>18811</v>
      </c>
      <c r="I883" s="6">
        <f t="shared" si="5"/>
        <v>19602</v>
      </c>
      <c r="J883" s="6">
        <f t="shared" si="6"/>
        <v>45718</v>
      </c>
      <c r="K883" s="9"/>
      <c r="L883" s="9"/>
      <c r="M883" s="9"/>
      <c r="N883" s="9">
        <f t="shared" si="7"/>
        <v>6.217598259</v>
      </c>
      <c r="O883" s="10">
        <f t="shared" si="8"/>
        <v>45.1012063</v>
      </c>
      <c r="P883" s="9">
        <v>20.0</v>
      </c>
      <c r="Q883" s="11" t="str">
        <f t="shared" si="9"/>
        <v>cobertura correcta</v>
      </c>
      <c r="R883" s="12"/>
      <c r="S883" s="8"/>
      <c r="T883" s="12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5" t="s">
        <v>1694</v>
      </c>
      <c r="B884" s="6" t="s">
        <v>1695</v>
      </c>
      <c r="C884" s="6">
        <f t="shared" si="1"/>
        <v>1424</v>
      </c>
      <c r="D884" s="6">
        <f t="shared" si="55"/>
        <v>95</v>
      </c>
      <c r="E884" s="7">
        <v>0.0</v>
      </c>
      <c r="F884" s="8"/>
      <c r="G884" s="6">
        <f t="shared" si="3"/>
        <v>3553</v>
      </c>
      <c r="H884" s="6">
        <f t="shared" si="4"/>
        <v>15871</v>
      </c>
      <c r="I884" s="6">
        <f t="shared" si="5"/>
        <v>22101</v>
      </c>
      <c r="J884" s="6">
        <f t="shared" si="6"/>
        <v>84209</v>
      </c>
      <c r="K884" s="9"/>
      <c r="L884" s="9"/>
      <c r="M884" s="9"/>
      <c r="N884" s="9">
        <f t="shared" si="7"/>
        <v>59.13553371</v>
      </c>
      <c r="O884" s="10">
        <f t="shared" si="8"/>
        <v>12.02364199</v>
      </c>
      <c r="P884" s="9">
        <v>20.0</v>
      </c>
      <c r="Q884" s="11" t="str">
        <f t="shared" si="9"/>
        <v>¡Compra YA!</v>
      </c>
      <c r="R884" s="12"/>
      <c r="S884" s="8"/>
      <c r="T884" s="12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5" t="s">
        <v>1696</v>
      </c>
      <c r="B885" s="6" t="s">
        <v>1697</v>
      </c>
      <c r="C885" s="6">
        <f t="shared" si="1"/>
        <v>2474</v>
      </c>
      <c r="D885" s="6">
        <f t="shared" si="55"/>
        <v>107</v>
      </c>
      <c r="E885" s="7">
        <v>0.0</v>
      </c>
      <c r="F885" s="8"/>
      <c r="G885" s="6">
        <f t="shared" si="3"/>
        <v>2363</v>
      </c>
      <c r="H885" s="6">
        <f t="shared" si="4"/>
        <v>17809</v>
      </c>
      <c r="I885" s="6">
        <f t="shared" si="5"/>
        <v>22348</v>
      </c>
      <c r="J885" s="6">
        <f t="shared" si="6"/>
        <v>74390</v>
      </c>
      <c r="K885" s="9"/>
      <c r="L885" s="9"/>
      <c r="M885" s="9"/>
      <c r="N885" s="9">
        <f t="shared" si="7"/>
        <v>30.06871463</v>
      </c>
      <c r="O885" s="10">
        <f t="shared" si="8"/>
        <v>31.40922556</v>
      </c>
      <c r="P885" s="9">
        <v>20.0</v>
      </c>
      <c r="Q885" s="11" t="str">
        <f t="shared" si="9"/>
        <v>cobertura correcta</v>
      </c>
      <c r="R885" s="12"/>
      <c r="S885" s="8"/>
      <c r="T885" s="12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5.75" customHeight="1">
      <c r="A886" s="5" t="s">
        <v>1698</v>
      </c>
      <c r="B886" s="6" t="s">
        <v>1699</v>
      </c>
      <c r="C886" s="6">
        <f t="shared" si="1"/>
        <v>8550</v>
      </c>
      <c r="D886" s="6">
        <f t="shared" si="55"/>
        <v>159</v>
      </c>
      <c r="E886" s="7">
        <v>0.0</v>
      </c>
      <c r="F886" s="8"/>
      <c r="G886" s="6">
        <f t="shared" si="3"/>
        <v>5375</v>
      </c>
      <c r="H886" s="6">
        <f t="shared" si="4"/>
        <v>18171</v>
      </c>
      <c r="I886" s="6">
        <f t="shared" si="5"/>
        <v>24693</v>
      </c>
      <c r="J886" s="6">
        <f t="shared" si="6"/>
        <v>54036</v>
      </c>
      <c r="K886" s="9"/>
      <c r="L886" s="9"/>
      <c r="M886" s="9"/>
      <c r="N886" s="9">
        <f t="shared" si="7"/>
        <v>6.32</v>
      </c>
      <c r="O886" s="10">
        <f t="shared" si="8"/>
        <v>47.72093023</v>
      </c>
      <c r="P886" s="9">
        <v>20.0</v>
      </c>
      <c r="Q886" s="11" t="str">
        <f t="shared" si="9"/>
        <v>cobertura correcta</v>
      </c>
      <c r="R886" s="12"/>
      <c r="S886" s="8"/>
      <c r="T886" s="12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5" t="s">
        <v>1700</v>
      </c>
      <c r="B887" s="6" t="s">
        <v>1701</v>
      </c>
      <c r="C887" s="6">
        <f t="shared" si="1"/>
        <v>4104</v>
      </c>
      <c r="D887" s="6">
        <f t="shared" si="55"/>
        <v>143</v>
      </c>
      <c r="E887" s="7">
        <v>0.0</v>
      </c>
      <c r="F887" s="8"/>
      <c r="G887" s="6">
        <f t="shared" si="3"/>
        <v>8889</v>
      </c>
      <c r="H887" s="6">
        <f t="shared" si="4"/>
        <v>14565</v>
      </c>
      <c r="I887" s="6">
        <f t="shared" si="5"/>
        <v>22398</v>
      </c>
      <c r="J887" s="6">
        <f t="shared" si="6"/>
        <v>62356</v>
      </c>
      <c r="K887" s="9"/>
      <c r="L887" s="9"/>
      <c r="M887" s="9"/>
      <c r="N887" s="9">
        <f t="shared" si="7"/>
        <v>15.19395712</v>
      </c>
      <c r="O887" s="10">
        <f t="shared" si="8"/>
        <v>13.85082686</v>
      </c>
      <c r="P887" s="9">
        <v>20.0</v>
      </c>
      <c r="Q887" s="11" t="str">
        <f t="shared" si="9"/>
        <v>¡Compra YA!</v>
      </c>
      <c r="R887" s="12"/>
      <c r="S887" s="8"/>
      <c r="T887" s="12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5" t="s">
        <v>1702</v>
      </c>
      <c r="B888" s="6" t="s">
        <v>1703</v>
      </c>
      <c r="C888" s="6">
        <f t="shared" si="1"/>
        <v>5588</v>
      </c>
      <c r="D888" s="6">
        <f t="shared" si="55"/>
        <v>187</v>
      </c>
      <c r="E888" s="7">
        <v>0.0</v>
      </c>
      <c r="F888" s="8"/>
      <c r="G888" s="6">
        <f t="shared" si="3"/>
        <v>6299</v>
      </c>
      <c r="H888" s="6">
        <f t="shared" si="4"/>
        <v>18995</v>
      </c>
      <c r="I888" s="6">
        <f t="shared" si="5"/>
        <v>24033</v>
      </c>
      <c r="J888" s="6">
        <f t="shared" si="6"/>
        <v>34891</v>
      </c>
      <c r="K888" s="9"/>
      <c r="L888" s="9"/>
      <c r="M888" s="9"/>
      <c r="N888" s="9">
        <f t="shared" si="7"/>
        <v>6.243915533</v>
      </c>
      <c r="O888" s="10">
        <f t="shared" si="8"/>
        <v>26.61374821</v>
      </c>
      <c r="P888" s="9">
        <v>20.0</v>
      </c>
      <c r="Q888" s="11" t="str">
        <f t="shared" si="9"/>
        <v>cobertura correcta</v>
      </c>
      <c r="R888" s="12"/>
      <c r="S888" s="8"/>
      <c r="T888" s="12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5" t="s">
        <v>1704</v>
      </c>
      <c r="B889" s="6" t="s">
        <v>1705</v>
      </c>
      <c r="C889" s="6">
        <f t="shared" si="1"/>
        <v>5620</v>
      </c>
      <c r="D889" s="6">
        <f t="shared" si="55"/>
        <v>178</v>
      </c>
      <c r="E889" s="7">
        <v>0.0</v>
      </c>
      <c r="F889" s="8"/>
      <c r="G889" s="6">
        <f t="shared" si="3"/>
        <v>7696</v>
      </c>
      <c r="H889" s="6">
        <f t="shared" si="4"/>
        <v>13229</v>
      </c>
      <c r="I889" s="6">
        <f t="shared" si="5"/>
        <v>28020</v>
      </c>
      <c r="J889" s="6">
        <f t="shared" si="6"/>
        <v>69919</v>
      </c>
      <c r="K889" s="9"/>
      <c r="L889" s="9"/>
      <c r="M889" s="9"/>
      <c r="N889" s="9">
        <f t="shared" si="7"/>
        <v>12.4411032</v>
      </c>
      <c r="O889" s="10">
        <f t="shared" si="8"/>
        <v>21.90748441</v>
      </c>
      <c r="P889" s="9">
        <v>20.0</v>
      </c>
      <c r="Q889" s="11" t="str">
        <f t="shared" si="9"/>
        <v>cobertura correcta</v>
      </c>
      <c r="R889" s="12"/>
      <c r="S889" s="8"/>
      <c r="T889" s="12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5.75" customHeight="1">
      <c r="A890" s="5" t="s">
        <v>1706</v>
      </c>
      <c r="B890" s="6" t="s">
        <v>1707</v>
      </c>
      <c r="C890" s="6">
        <f t="shared" si="1"/>
        <v>2721</v>
      </c>
      <c r="D890" s="6">
        <f t="shared" si="55"/>
        <v>14</v>
      </c>
      <c r="E890" s="7">
        <v>0.0</v>
      </c>
      <c r="F890" s="8"/>
      <c r="G890" s="6">
        <f t="shared" si="3"/>
        <v>2734</v>
      </c>
      <c r="H890" s="6">
        <f t="shared" si="4"/>
        <v>13817</v>
      </c>
      <c r="I890" s="6">
        <f t="shared" si="5"/>
        <v>23851</v>
      </c>
      <c r="J890" s="6">
        <f t="shared" si="6"/>
        <v>83877</v>
      </c>
      <c r="K890" s="9"/>
      <c r="L890" s="9"/>
      <c r="M890" s="9"/>
      <c r="N890" s="9">
        <f t="shared" si="7"/>
        <v>30.82579934</v>
      </c>
      <c r="O890" s="10">
        <f t="shared" si="8"/>
        <v>29.85735187</v>
      </c>
      <c r="P890" s="9">
        <v>20.0</v>
      </c>
      <c r="Q890" s="11" t="str">
        <f t="shared" si="9"/>
        <v>cobertura correcta</v>
      </c>
      <c r="R890" s="12"/>
      <c r="S890" s="8"/>
      <c r="T890" s="12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5" t="s">
        <v>1708</v>
      </c>
      <c r="B891" s="6" t="s">
        <v>1709</v>
      </c>
      <c r="C891" s="6">
        <f t="shared" si="1"/>
        <v>8590</v>
      </c>
      <c r="D891" s="6">
        <f t="shared" si="55"/>
        <v>157</v>
      </c>
      <c r="E891" s="7">
        <v>0.0</v>
      </c>
      <c r="F891" s="8"/>
      <c r="G891" s="6">
        <f t="shared" si="3"/>
        <v>5592</v>
      </c>
      <c r="H891" s="6">
        <f t="shared" si="4"/>
        <v>12781</v>
      </c>
      <c r="I891" s="6">
        <f t="shared" si="5"/>
        <v>25225</v>
      </c>
      <c r="J891" s="6">
        <f t="shared" si="6"/>
        <v>97106</v>
      </c>
      <c r="K891" s="9"/>
      <c r="L891" s="9"/>
      <c r="M891" s="9"/>
      <c r="N891" s="9">
        <f t="shared" si="7"/>
        <v>11.30454016</v>
      </c>
      <c r="O891" s="10">
        <f t="shared" si="8"/>
        <v>46.08369099</v>
      </c>
      <c r="P891" s="9">
        <v>20.0</v>
      </c>
      <c r="Q891" s="11" t="str">
        <f t="shared" si="9"/>
        <v>cobertura correcta</v>
      </c>
      <c r="R891" s="12"/>
      <c r="S891" s="8"/>
      <c r="T891" s="12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5" t="s">
        <v>1710</v>
      </c>
      <c r="B892" s="6" t="s">
        <v>1711</v>
      </c>
      <c r="C892" s="6">
        <f t="shared" si="1"/>
        <v>5580</v>
      </c>
      <c r="D892" s="6">
        <f t="shared" si="55"/>
        <v>194</v>
      </c>
      <c r="E892" s="7">
        <v>0.0</v>
      </c>
      <c r="F892" s="8"/>
      <c r="G892" s="6">
        <f t="shared" si="3"/>
        <v>8002</v>
      </c>
      <c r="H892" s="6">
        <f t="shared" si="4"/>
        <v>15500</v>
      </c>
      <c r="I892" s="6">
        <f t="shared" si="5"/>
        <v>22312</v>
      </c>
      <c r="J892" s="6">
        <f t="shared" si="6"/>
        <v>33946</v>
      </c>
      <c r="K892" s="9"/>
      <c r="L892" s="9"/>
      <c r="M892" s="9"/>
      <c r="N892" s="9">
        <f t="shared" si="7"/>
        <v>6.083512545</v>
      </c>
      <c r="O892" s="10">
        <f t="shared" si="8"/>
        <v>20.91977006</v>
      </c>
      <c r="P892" s="9">
        <v>20.0</v>
      </c>
      <c r="Q892" s="11" t="str">
        <f t="shared" si="9"/>
        <v>cobertura correcta</v>
      </c>
      <c r="R892" s="12"/>
      <c r="S892" s="8"/>
      <c r="T892" s="12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5" t="s">
        <v>1712</v>
      </c>
      <c r="B893" s="6" t="s">
        <v>1713</v>
      </c>
      <c r="C893" s="6">
        <f t="shared" si="1"/>
        <v>7072</v>
      </c>
      <c r="D893" s="6">
        <f t="shared" si="55"/>
        <v>68</v>
      </c>
      <c r="E893" s="7">
        <v>0.0</v>
      </c>
      <c r="F893" s="8"/>
      <c r="G893" s="6">
        <f t="shared" si="3"/>
        <v>1154</v>
      </c>
      <c r="H893" s="6">
        <f t="shared" si="4"/>
        <v>17947</v>
      </c>
      <c r="I893" s="6">
        <f t="shared" si="5"/>
        <v>23401</v>
      </c>
      <c r="J893" s="6">
        <f t="shared" si="6"/>
        <v>75654</v>
      </c>
      <c r="K893" s="9"/>
      <c r="L893" s="9"/>
      <c r="M893" s="9"/>
      <c r="N893" s="9">
        <f t="shared" si="7"/>
        <v>10.697681</v>
      </c>
      <c r="O893" s="10">
        <f t="shared" si="8"/>
        <v>183.847487</v>
      </c>
      <c r="P893" s="9">
        <v>20.0</v>
      </c>
      <c r="Q893" s="11" t="str">
        <f t="shared" si="9"/>
        <v>cobertura correcta</v>
      </c>
      <c r="R893" s="12"/>
      <c r="S893" s="8"/>
      <c r="T893" s="12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5" t="s">
        <v>1714</v>
      </c>
      <c r="B894" s="6" t="s">
        <v>1715</v>
      </c>
      <c r="C894" s="6">
        <f t="shared" si="1"/>
        <v>5085</v>
      </c>
      <c r="D894" s="6">
        <f t="shared" si="55"/>
        <v>75</v>
      </c>
      <c r="E894" s="7">
        <v>0.0</v>
      </c>
      <c r="F894" s="8"/>
      <c r="G894" s="6">
        <f t="shared" si="3"/>
        <v>7063</v>
      </c>
      <c r="H894" s="6">
        <f t="shared" si="4"/>
        <v>18215</v>
      </c>
      <c r="I894" s="6">
        <f t="shared" si="5"/>
        <v>19131</v>
      </c>
      <c r="J894" s="6">
        <f t="shared" si="6"/>
        <v>52160</v>
      </c>
      <c r="K894" s="9"/>
      <c r="L894" s="9"/>
      <c r="M894" s="9"/>
      <c r="N894" s="9">
        <f t="shared" si="7"/>
        <v>10.25762045</v>
      </c>
      <c r="O894" s="10">
        <f t="shared" si="8"/>
        <v>21.5984709</v>
      </c>
      <c r="P894" s="9">
        <v>20.0</v>
      </c>
      <c r="Q894" s="11" t="str">
        <f t="shared" si="9"/>
        <v>cobertura correcta</v>
      </c>
      <c r="R894" s="12"/>
      <c r="S894" s="8"/>
      <c r="T894" s="12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5" t="s">
        <v>1716</v>
      </c>
      <c r="B895" s="6" t="s">
        <v>1717</v>
      </c>
      <c r="C895" s="6">
        <f t="shared" si="1"/>
        <v>1292</v>
      </c>
      <c r="D895" s="6">
        <f t="shared" si="55"/>
        <v>140</v>
      </c>
      <c r="E895" s="7">
        <v>0.0</v>
      </c>
      <c r="F895" s="8"/>
      <c r="G895" s="6">
        <f t="shared" si="3"/>
        <v>5534</v>
      </c>
      <c r="H895" s="6">
        <f t="shared" si="4"/>
        <v>13141</v>
      </c>
      <c r="I895" s="6">
        <f t="shared" si="5"/>
        <v>21093</v>
      </c>
      <c r="J895" s="6">
        <f t="shared" si="6"/>
        <v>95849</v>
      </c>
      <c r="K895" s="9"/>
      <c r="L895" s="9"/>
      <c r="M895" s="9"/>
      <c r="N895" s="9">
        <f t="shared" si="7"/>
        <v>74.18653251</v>
      </c>
      <c r="O895" s="10">
        <f t="shared" si="8"/>
        <v>7.003975425</v>
      </c>
      <c r="P895" s="9">
        <v>20.0</v>
      </c>
      <c r="Q895" s="11" t="str">
        <f t="shared" si="9"/>
        <v>¡Compra YA!</v>
      </c>
      <c r="R895" s="12"/>
      <c r="S895" s="8"/>
      <c r="T895" s="12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5" t="s">
        <v>1718</v>
      </c>
      <c r="B896" s="6" t="s">
        <v>1719</v>
      </c>
      <c r="C896" s="6">
        <f t="shared" si="1"/>
        <v>2294</v>
      </c>
      <c r="D896" s="6">
        <f t="shared" si="55"/>
        <v>65</v>
      </c>
      <c r="E896" s="7">
        <v>0.0</v>
      </c>
      <c r="F896" s="8"/>
      <c r="G896" s="6">
        <f t="shared" si="3"/>
        <v>6330</v>
      </c>
      <c r="H896" s="6">
        <f t="shared" si="4"/>
        <v>9592</v>
      </c>
      <c r="I896" s="6">
        <f t="shared" si="5"/>
        <v>26423</v>
      </c>
      <c r="J896" s="6">
        <f t="shared" si="6"/>
        <v>62878</v>
      </c>
      <c r="K896" s="9"/>
      <c r="L896" s="9"/>
      <c r="M896" s="9"/>
      <c r="N896" s="9">
        <f t="shared" si="7"/>
        <v>27.4097646</v>
      </c>
      <c r="O896" s="10">
        <f t="shared" si="8"/>
        <v>10.87203791</v>
      </c>
      <c r="P896" s="9">
        <v>20.0</v>
      </c>
      <c r="Q896" s="11" t="str">
        <f t="shared" si="9"/>
        <v>¡Compra YA!</v>
      </c>
      <c r="R896" s="12"/>
      <c r="S896" s="8"/>
      <c r="T896" s="12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5" t="s">
        <v>1720</v>
      </c>
      <c r="B897" s="6"/>
      <c r="C897" s="6">
        <f t="shared" si="1"/>
        <v>8340</v>
      </c>
      <c r="D897" s="6">
        <f t="shared" si="55"/>
        <v>85</v>
      </c>
      <c r="E897" s="7">
        <v>0.0</v>
      </c>
      <c r="F897" s="8"/>
      <c r="G897" s="6">
        <f t="shared" si="3"/>
        <v>3402</v>
      </c>
      <c r="H897" s="6">
        <f t="shared" si="4"/>
        <v>16388</v>
      </c>
      <c r="I897" s="6">
        <f t="shared" si="5"/>
        <v>27123</v>
      </c>
      <c r="J897" s="6">
        <f t="shared" si="6"/>
        <v>68049</v>
      </c>
      <c r="K897" s="9"/>
      <c r="L897" s="9"/>
      <c r="M897" s="9"/>
      <c r="N897" s="9">
        <f t="shared" si="7"/>
        <v>8.159352518</v>
      </c>
      <c r="O897" s="10">
        <f t="shared" si="8"/>
        <v>73.54497354</v>
      </c>
      <c r="P897" s="9">
        <v>20.0</v>
      </c>
      <c r="Q897" s="11" t="str">
        <f t="shared" si="9"/>
        <v>cobertura correcta</v>
      </c>
      <c r="R897" s="12"/>
      <c r="S897" s="8"/>
      <c r="T897" s="12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5.75" customHeight="1">
      <c r="A898" s="5" t="s">
        <v>1721</v>
      </c>
      <c r="B898" s="6" t="s">
        <v>1722</v>
      </c>
      <c r="C898" s="6">
        <f t="shared" si="1"/>
        <v>2182</v>
      </c>
      <c r="D898" s="6">
        <f t="shared" si="55"/>
        <v>6</v>
      </c>
      <c r="E898" s="7">
        <v>0.0</v>
      </c>
      <c r="F898" s="8"/>
      <c r="G898" s="6">
        <f t="shared" si="3"/>
        <v>1592</v>
      </c>
      <c r="H898" s="6">
        <f t="shared" si="4"/>
        <v>9967</v>
      </c>
      <c r="I898" s="6">
        <f t="shared" si="5"/>
        <v>19418</v>
      </c>
      <c r="J898" s="6">
        <f t="shared" si="6"/>
        <v>32586</v>
      </c>
      <c r="K898" s="9"/>
      <c r="L898" s="9"/>
      <c r="M898" s="9"/>
      <c r="N898" s="9">
        <f t="shared" si="7"/>
        <v>14.9340055</v>
      </c>
      <c r="O898" s="10">
        <f t="shared" si="8"/>
        <v>41.11809045</v>
      </c>
      <c r="P898" s="9">
        <v>20.0</v>
      </c>
      <c r="Q898" s="11" t="str">
        <f t="shared" si="9"/>
        <v>cobertura correcta</v>
      </c>
      <c r="R898" s="12"/>
      <c r="S898" s="8"/>
      <c r="T898" s="12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5" t="s">
        <v>1723</v>
      </c>
      <c r="B899" s="6" t="s">
        <v>1724</v>
      </c>
      <c r="C899" s="6">
        <f t="shared" si="1"/>
        <v>3005</v>
      </c>
      <c r="D899" s="6">
        <f t="shared" si="55"/>
        <v>106</v>
      </c>
      <c r="E899" s="7">
        <v>0.0</v>
      </c>
      <c r="F899" s="8"/>
      <c r="G899" s="6">
        <f t="shared" si="3"/>
        <v>3545</v>
      </c>
      <c r="H899" s="6">
        <f t="shared" si="4"/>
        <v>14639</v>
      </c>
      <c r="I899" s="6">
        <f t="shared" si="5"/>
        <v>20441</v>
      </c>
      <c r="J899" s="6">
        <f t="shared" si="6"/>
        <v>45867</v>
      </c>
      <c r="K899" s="9"/>
      <c r="L899" s="9"/>
      <c r="M899" s="9"/>
      <c r="N899" s="9">
        <f t="shared" si="7"/>
        <v>15.26356073</v>
      </c>
      <c r="O899" s="10">
        <f t="shared" si="8"/>
        <v>25.43018336</v>
      </c>
      <c r="P899" s="9">
        <v>20.0</v>
      </c>
      <c r="Q899" s="11" t="str">
        <f t="shared" si="9"/>
        <v>cobertura correcta</v>
      </c>
      <c r="R899" s="12"/>
      <c r="S899" s="8"/>
      <c r="T899" s="12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5" t="s">
        <v>1725</v>
      </c>
      <c r="B900" s="6" t="s">
        <v>1726</v>
      </c>
      <c r="C900" s="6">
        <f t="shared" si="1"/>
        <v>5318</v>
      </c>
      <c r="D900" s="6">
        <f t="shared" si="55"/>
        <v>121</v>
      </c>
      <c r="E900" s="7">
        <v>0.0</v>
      </c>
      <c r="F900" s="8"/>
      <c r="G900" s="6">
        <f t="shared" si="3"/>
        <v>6734</v>
      </c>
      <c r="H900" s="6">
        <f t="shared" si="4"/>
        <v>11424</v>
      </c>
      <c r="I900" s="6">
        <f t="shared" si="5"/>
        <v>27486</v>
      </c>
      <c r="J900" s="6">
        <f t="shared" si="6"/>
        <v>81125</v>
      </c>
      <c r="K900" s="9"/>
      <c r="L900" s="9"/>
      <c r="M900" s="9"/>
      <c r="N900" s="9">
        <f t="shared" si="7"/>
        <v>15.25479504</v>
      </c>
      <c r="O900" s="10">
        <f t="shared" si="8"/>
        <v>23.69171369</v>
      </c>
      <c r="P900" s="9">
        <v>20.0</v>
      </c>
      <c r="Q900" s="11" t="str">
        <f t="shared" si="9"/>
        <v>cobertura correcta</v>
      </c>
      <c r="R900" s="12"/>
      <c r="S900" s="8"/>
      <c r="T900" s="12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5" t="s">
        <v>1727</v>
      </c>
      <c r="B901" s="6" t="s">
        <v>1728</v>
      </c>
      <c r="C901" s="6">
        <f t="shared" si="1"/>
        <v>1120</v>
      </c>
      <c r="D901" s="6">
        <f t="shared" si="55"/>
        <v>95</v>
      </c>
      <c r="E901" s="7">
        <v>0.0</v>
      </c>
      <c r="F901" s="8"/>
      <c r="G901" s="6">
        <f t="shared" si="3"/>
        <v>8513</v>
      </c>
      <c r="H901" s="6">
        <f t="shared" si="4"/>
        <v>15516</v>
      </c>
      <c r="I901" s="6">
        <f t="shared" si="5"/>
        <v>22048</v>
      </c>
      <c r="J901" s="6">
        <f t="shared" si="6"/>
        <v>30763</v>
      </c>
      <c r="K901" s="9"/>
      <c r="L901" s="9"/>
      <c r="M901" s="9"/>
      <c r="N901" s="9">
        <f t="shared" si="7"/>
        <v>27.46696429</v>
      </c>
      <c r="O901" s="10">
        <f t="shared" si="8"/>
        <v>3.946904734</v>
      </c>
      <c r="P901" s="9">
        <v>20.0</v>
      </c>
      <c r="Q901" s="11" t="str">
        <f t="shared" si="9"/>
        <v>¡Compra YA!</v>
      </c>
      <c r="R901" s="12"/>
      <c r="S901" s="8"/>
      <c r="T901" s="12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5.75" customHeight="1">
      <c r="A902" s="5" t="s">
        <v>1729</v>
      </c>
      <c r="B902" s="6" t="s">
        <v>1730</v>
      </c>
      <c r="C902" s="6">
        <f t="shared" si="1"/>
        <v>5385</v>
      </c>
      <c r="D902" s="6">
        <f t="shared" si="55"/>
        <v>104</v>
      </c>
      <c r="E902" s="7">
        <v>0.0</v>
      </c>
      <c r="F902" s="8"/>
      <c r="G902" s="6">
        <f t="shared" si="3"/>
        <v>2901</v>
      </c>
      <c r="H902" s="6">
        <f t="shared" si="4"/>
        <v>12153</v>
      </c>
      <c r="I902" s="6">
        <f t="shared" si="5"/>
        <v>22634</v>
      </c>
      <c r="J902" s="6">
        <f t="shared" si="6"/>
        <v>34935</v>
      </c>
      <c r="K902" s="9"/>
      <c r="L902" s="9"/>
      <c r="M902" s="9"/>
      <c r="N902" s="9">
        <f t="shared" si="7"/>
        <v>6.487465181</v>
      </c>
      <c r="O902" s="10">
        <f t="shared" si="8"/>
        <v>55.6876939</v>
      </c>
      <c r="P902" s="9">
        <v>7.0</v>
      </c>
      <c r="Q902" s="11" t="str">
        <f t="shared" si="9"/>
        <v>cobertura correcta</v>
      </c>
      <c r="R902" s="12"/>
      <c r="S902" s="8"/>
      <c r="T902" s="12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5.75" customHeight="1">
      <c r="A903" s="5" t="s">
        <v>1731</v>
      </c>
      <c r="B903" s="6" t="s">
        <v>1732</v>
      </c>
      <c r="C903" s="6">
        <f t="shared" si="1"/>
        <v>8440</v>
      </c>
      <c r="D903" s="6">
        <f t="shared" si="55"/>
        <v>151</v>
      </c>
      <c r="E903" s="7">
        <v>0.0</v>
      </c>
      <c r="F903" s="8"/>
      <c r="G903" s="6">
        <f t="shared" si="3"/>
        <v>8273</v>
      </c>
      <c r="H903" s="6">
        <f t="shared" si="4"/>
        <v>15575</v>
      </c>
      <c r="I903" s="6">
        <f t="shared" si="5"/>
        <v>19657</v>
      </c>
      <c r="J903" s="6">
        <f t="shared" si="6"/>
        <v>38660</v>
      </c>
      <c r="K903" s="9"/>
      <c r="L903" s="9"/>
      <c r="M903" s="9"/>
      <c r="N903" s="9">
        <f t="shared" si="7"/>
        <v>4.58056872</v>
      </c>
      <c r="O903" s="10">
        <f t="shared" si="8"/>
        <v>30.60558443</v>
      </c>
      <c r="P903" s="9">
        <v>7.0</v>
      </c>
      <c r="Q903" s="11" t="str">
        <f t="shared" si="9"/>
        <v>cobertura correcta</v>
      </c>
      <c r="R903" s="12"/>
      <c r="S903" s="8"/>
      <c r="T903" s="12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5" t="s">
        <v>1733</v>
      </c>
      <c r="B904" s="6" t="s">
        <v>1734</v>
      </c>
      <c r="C904" s="6">
        <f t="shared" si="1"/>
        <v>7761</v>
      </c>
      <c r="D904" s="6">
        <f t="shared" si="55"/>
        <v>40</v>
      </c>
      <c r="E904" s="7">
        <v>0.0</v>
      </c>
      <c r="F904" s="8"/>
      <c r="G904" s="6">
        <f t="shared" si="3"/>
        <v>3692</v>
      </c>
      <c r="H904" s="6">
        <f t="shared" si="4"/>
        <v>11494</v>
      </c>
      <c r="I904" s="6">
        <f t="shared" si="5"/>
        <v>19080</v>
      </c>
      <c r="J904" s="6">
        <f t="shared" si="6"/>
        <v>57480</v>
      </c>
      <c r="K904" s="9"/>
      <c r="L904" s="9"/>
      <c r="M904" s="9"/>
      <c r="N904" s="9">
        <f t="shared" si="7"/>
        <v>7.40626208</v>
      </c>
      <c r="O904" s="10">
        <f t="shared" si="8"/>
        <v>63.06338028</v>
      </c>
      <c r="P904" s="9">
        <v>7.0</v>
      </c>
      <c r="Q904" s="11" t="str">
        <f t="shared" si="9"/>
        <v>cobertura correcta</v>
      </c>
      <c r="R904" s="12"/>
      <c r="S904" s="8"/>
      <c r="T904" s="12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5" t="s">
        <v>1735</v>
      </c>
      <c r="B905" s="6" t="s">
        <v>1736</v>
      </c>
      <c r="C905" s="6">
        <f t="shared" si="1"/>
        <v>1475</v>
      </c>
      <c r="D905" s="6">
        <f t="shared" si="55"/>
        <v>105</v>
      </c>
      <c r="E905" s="7">
        <v>0.0</v>
      </c>
      <c r="F905" s="8"/>
      <c r="G905" s="6">
        <f t="shared" si="3"/>
        <v>6011</v>
      </c>
      <c r="H905" s="6">
        <f t="shared" si="4"/>
        <v>18668</v>
      </c>
      <c r="I905" s="6">
        <f t="shared" si="5"/>
        <v>27363</v>
      </c>
      <c r="J905" s="6">
        <f t="shared" si="6"/>
        <v>79564</v>
      </c>
      <c r="K905" s="9"/>
      <c r="L905" s="9"/>
      <c r="M905" s="9"/>
      <c r="N905" s="9">
        <f t="shared" si="7"/>
        <v>53.94169492</v>
      </c>
      <c r="O905" s="10">
        <f t="shared" si="8"/>
        <v>7.361503909</v>
      </c>
      <c r="P905" s="9">
        <v>7.0</v>
      </c>
      <c r="Q905" s="11" t="str">
        <f t="shared" si="9"/>
        <v>cobertura correcta</v>
      </c>
      <c r="R905" s="12"/>
      <c r="S905" s="8"/>
      <c r="T905" s="12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5" t="s">
        <v>1737</v>
      </c>
      <c r="B906" s="6" t="s">
        <v>1738</v>
      </c>
      <c r="C906" s="6">
        <f t="shared" si="1"/>
        <v>8620</v>
      </c>
      <c r="D906" s="6">
        <f t="shared" si="55"/>
        <v>41</v>
      </c>
      <c r="E906" s="7">
        <v>0.0</v>
      </c>
      <c r="F906" s="8"/>
      <c r="G906" s="6">
        <f t="shared" si="3"/>
        <v>7979</v>
      </c>
      <c r="H906" s="6">
        <f t="shared" si="4"/>
        <v>11635</v>
      </c>
      <c r="I906" s="6">
        <f t="shared" si="5"/>
        <v>22605</v>
      </c>
      <c r="J906" s="6">
        <f t="shared" si="6"/>
        <v>84163</v>
      </c>
      <c r="K906" s="9"/>
      <c r="L906" s="9"/>
      <c r="M906" s="9"/>
      <c r="N906" s="9">
        <f t="shared" si="7"/>
        <v>9.763689095</v>
      </c>
      <c r="O906" s="10">
        <f t="shared" si="8"/>
        <v>32.41007645</v>
      </c>
      <c r="P906" s="9">
        <v>30.0</v>
      </c>
      <c r="Q906" s="11" t="str">
        <f t="shared" si="9"/>
        <v>cobertura correcta</v>
      </c>
      <c r="R906" s="12"/>
      <c r="S906" s="8"/>
      <c r="T906" s="12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5.75" customHeight="1">
      <c r="A907" s="5" t="s">
        <v>1739</v>
      </c>
      <c r="B907" s="6" t="s">
        <v>1740</v>
      </c>
      <c r="C907" s="6">
        <f t="shared" si="1"/>
        <v>1513</v>
      </c>
      <c r="D907" s="6">
        <f t="shared" si="55"/>
        <v>0</v>
      </c>
      <c r="E907" s="7">
        <v>0.0</v>
      </c>
      <c r="F907" s="8"/>
      <c r="G907" s="6">
        <f t="shared" si="3"/>
        <v>7943</v>
      </c>
      <c r="H907" s="6">
        <f t="shared" si="4"/>
        <v>13586</v>
      </c>
      <c r="I907" s="6">
        <f t="shared" si="5"/>
        <v>27986</v>
      </c>
      <c r="J907" s="6">
        <f t="shared" si="6"/>
        <v>59275</v>
      </c>
      <c r="K907" s="9"/>
      <c r="L907" s="9"/>
      <c r="M907" s="9"/>
      <c r="N907" s="9">
        <f t="shared" si="7"/>
        <v>39.17713153</v>
      </c>
      <c r="O907" s="10">
        <f t="shared" si="8"/>
        <v>5.714465567</v>
      </c>
      <c r="P907" s="9">
        <v>30.0</v>
      </c>
      <c r="Q907" s="11" t="str">
        <f t="shared" si="9"/>
        <v>¡Compra YA!</v>
      </c>
      <c r="R907" s="12"/>
      <c r="S907" s="8"/>
      <c r="T907" s="12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5" t="s">
        <v>1741</v>
      </c>
      <c r="B908" s="6" t="s">
        <v>1742</v>
      </c>
      <c r="C908" s="6">
        <f t="shared" si="1"/>
        <v>6680</v>
      </c>
      <c r="D908" s="6">
        <f t="shared" si="55"/>
        <v>62</v>
      </c>
      <c r="E908" s="7">
        <v>0.0</v>
      </c>
      <c r="F908" s="8"/>
      <c r="G908" s="6">
        <f t="shared" si="3"/>
        <v>3070</v>
      </c>
      <c r="H908" s="6">
        <f t="shared" si="4"/>
        <v>15481</v>
      </c>
      <c r="I908" s="6">
        <f t="shared" si="5"/>
        <v>26100</v>
      </c>
      <c r="J908" s="6">
        <f t="shared" si="6"/>
        <v>83342</v>
      </c>
      <c r="K908" s="9"/>
      <c r="L908" s="9"/>
      <c r="M908" s="9"/>
      <c r="N908" s="9">
        <f t="shared" si="7"/>
        <v>12.47634731</v>
      </c>
      <c r="O908" s="10">
        <f t="shared" si="8"/>
        <v>65.27687296</v>
      </c>
      <c r="P908" s="9">
        <v>30.0</v>
      </c>
      <c r="Q908" s="11" t="str">
        <f t="shared" si="9"/>
        <v>cobertura correcta</v>
      </c>
      <c r="R908" s="12"/>
      <c r="S908" s="8"/>
      <c r="T908" s="12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5" t="s">
        <v>1743</v>
      </c>
      <c r="B909" s="6" t="s">
        <v>1744</v>
      </c>
      <c r="C909" s="6">
        <f t="shared" si="1"/>
        <v>3894</v>
      </c>
      <c r="D909" s="6">
        <f t="shared" si="55"/>
        <v>59</v>
      </c>
      <c r="E909" s="7">
        <v>0.0</v>
      </c>
      <c r="F909" s="8"/>
      <c r="G909" s="6">
        <f t="shared" si="3"/>
        <v>8625</v>
      </c>
      <c r="H909" s="6">
        <f t="shared" si="4"/>
        <v>11484</v>
      </c>
      <c r="I909" s="6">
        <f t="shared" si="5"/>
        <v>21018</v>
      </c>
      <c r="J909" s="6">
        <f t="shared" si="6"/>
        <v>30632</v>
      </c>
      <c r="K909" s="9"/>
      <c r="L909" s="9"/>
      <c r="M909" s="9"/>
      <c r="N909" s="9">
        <f t="shared" si="7"/>
        <v>7.866461222</v>
      </c>
      <c r="O909" s="10">
        <f t="shared" si="8"/>
        <v>13.54434783</v>
      </c>
      <c r="P909" s="9">
        <v>30.0</v>
      </c>
      <c r="Q909" s="11" t="str">
        <f t="shared" si="9"/>
        <v>¡Compra YA!</v>
      </c>
      <c r="R909" s="12"/>
      <c r="S909" s="8"/>
      <c r="T909" s="12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5" t="s">
        <v>1745</v>
      </c>
      <c r="B910" s="6" t="s">
        <v>1746</v>
      </c>
      <c r="C910" s="6">
        <f t="shared" si="1"/>
        <v>4830</v>
      </c>
      <c r="D910" s="6">
        <f t="shared" si="55"/>
        <v>41</v>
      </c>
      <c r="E910" s="7">
        <v>0.0</v>
      </c>
      <c r="F910" s="8"/>
      <c r="G910" s="6">
        <f t="shared" si="3"/>
        <v>5464</v>
      </c>
      <c r="H910" s="6">
        <f t="shared" si="4"/>
        <v>9442</v>
      </c>
      <c r="I910" s="6">
        <f t="shared" si="5"/>
        <v>28683</v>
      </c>
      <c r="J910" s="6">
        <f t="shared" si="6"/>
        <v>63698</v>
      </c>
      <c r="K910" s="9"/>
      <c r="L910" s="9"/>
      <c r="M910" s="9"/>
      <c r="N910" s="9">
        <f t="shared" si="7"/>
        <v>13.18799172</v>
      </c>
      <c r="O910" s="10">
        <f t="shared" si="8"/>
        <v>26.51903367</v>
      </c>
      <c r="P910" s="9">
        <v>30.0</v>
      </c>
      <c r="Q910" s="11" t="str">
        <f t="shared" si="9"/>
        <v>¡Compra YA!</v>
      </c>
      <c r="R910" s="12"/>
      <c r="S910" s="8"/>
      <c r="T910" s="12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5.75" customHeight="1">
      <c r="A911" s="5" t="s">
        <v>1747</v>
      </c>
      <c r="B911" s="6" t="s">
        <v>1748</v>
      </c>
      <c r="C911" s="6">
        <f t="shared" si="1"/>
        <v>7538</v>
      </c>
      <c r="D911" s="6">
        <f t="shared" si="55"/>
        <v>36</v>
      </c>
      <c r="E911" s="7">
        <v>0.0</v>
      </c>
      <c r="F911" s="8"/>
      <c r="G911" s="6">
        <f t="shared" si="3"/>
        <v>6865</v>
      </c>
      <c r="H911" s="6">
        <f t="shared" si="4"/>
        <v>15897</v>
      </c>
      <c r="I911" s="6">
        <f t="shared" si="5"/>
        <v>27824</v>
      </c>
      <c r="J911" s="6">
        <f t="shared" si="6"/>
        <v>94443</v>
      </c>
      <c r="K911" s="9"/>
      <c r="L911" s="9"/>
      <c r="M911" s="9"/>
      <c r="N911" s="9">
        <f t="shared" si="7"/>
        <v>12.52892014</v>
      </c>
      <c r="O911" s="10">
        <f t="shared" si="8"/>
        <v>32.9410051</v>
      </c>
      <c r="P911" s="9">
        <v>30.0</v>
      </c>
      <c r="Q911" s="11" t="str">
        <f t="shared" si="9"/>
        <v>cobertura correcta</v>
      </c>
      <c r="R911" s="12"/>
      <c r="S911" s="8"/>
      <c r="T911" s="12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5" t="s">
        <v>1749</v>
      </c>
      <c r="B912" s="6" t="s">
        <v>1750</v>
      </c>
      <c r="C912" s="6">
        <f t="shared" si="1"/>
        <v>3121</v>
      </c>
      <c r="D912" s="6">
        <f t="shared" si="55"/>
        <v>133</v>
      </c>
      <c r="E912" s="7">
        <v>0.0</v>
      </c>
      <c r="F912" s="8"/>
      <c r="G912" s="6">
        <f t="shared" si="3"/>
        <v>8543</v>
      </c>
      <c r="H912" s="6">
        <f t="shared" si="4"/>
        <v>11084</v>
      </c>
      <c r="I912" s="6">
        <f t="shared" si="5"/>
        <v>20244</v>
      </c>
      <c r="J912" s="6">
        <f t="shared" si="6"/>
        <v>64128</v>
      </c>
      <c r="K912" s="9"/>
      <c r="L912" s="9"/>
      <c r="M912" s="9"/>
      <c r="N912" s="9">
        <f t="shared" si="7"/>
        <v>20.54726049</v>
      </c>
      <c r="O912" s="10">
        <f t="shared" si="8"/>
        <v>10.95985017</v>
      </c>
      <c r="P912" s="9">
        <v>30.0</v>
      </c>
      <c r="Q912" s="11" t="str">
        <f t="shared" si="9"/>
        <v>¡Compra YA!</v>
      </c>
      <c r="R912" s="12"/>
      <c r="S912" s="8"/>
      <c r="T912" s="12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5" t="s">
        <v>1751</v>
      </c>
      <c r="B913" s="6" t="s">
        <v>1752</v>
      </c>
      <c r="C913" s="6">
        <f t="shared" si="1"/>
        <v>6458</v>
      </c>
      <c r="D913" s="6">
        <f t="shared" si="55"/>
        <v>62</v>
      </c>
      <c r="E913" s="7">
        <v>0.0</v>
      </c>
      <c r="F913" s="8"/>
      <c r="G913" s="6">
        <f t="shared" si="3"/>
        <v>1502</v>
      </c>
      <c r="H913" s="6">
        <f t="shared" si="4"/>
        <v>11537</v>
      </c>
      <c r="I913" s="6">
        <f t="shared" si="5"/>
        <v>22949</v>
      </c>
      <c r="J913" s="6">
        <f t="shared" si="6"/>
        <v>60739</v>
      </c>
      <c r="K913" s="9"/>
      <c r="L913" s="9"/>
      <c r="M913" s="9"/>
      <c r="N913" s="9">
        <f t="shared" si="7"/>
        <v>9.405233819</v>
      </c>
      <c r="O913" s="10">
        <f t="shared" si="8"/>
        <v>128.988016</v>
      </c>
      <c r="P913" s="9">
        <v>30.0</v>
      </c>
      <c r="Q913" s="11" t="str">
        <f t="shared" si="9"/>
        <v>cobertura correcta</v>
      </c>
      <c r="R913" s="12"/>
      <c r="S913" s="8"/>
      <c r="T913" s="12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5" t="s">
        <v>1753</v>
      </c>
      <c r="B914" s="6" t="s">
        <v>1754</v>
      </c>
      <c r="C914" s="6">
        <f t="shared" si="1"/>
        <v>3253</v>
      </c>
      <c r="D914" s="6">
        <f t="shared" si="55"/>
        <v>25</v>
      </c>
      <c r="E914" s="7">
        <v>0.0</v>
      </c>
      <c r="F914" s="8"/>
      <c r="G914" s="6">
        <f t="shared" si="3"/>
        <v>6068</v>
      </c>
      <c r="H914" s="6">
        <f t="shared" si="4"/>
        <v>16477</v>
      </c>
      <c r="I914" s="6">
        <f t="shared" si="5"/>
        <v>23673</v>
      </c>
      <c r="J914" s="6">
        <f t="shared" si="6"/>
        <v>46382</v>
      </c>
      <c r="K914" s="9"/>
      <c r="L914" s="9"/>
      <c r="M914" s="9"/>
      <c r="N914" s="9">
        <f t="shared" si="7"/>
        <v>14.25822318</v>
      </c>
      <c r="O914" s="10">
        <f t="shared" si="8"/>
        <v>16.08272907</v>
      </c>
      <c r="P914" s="9">
        <v>30.0</v>
      </c>
      <c r="Q914" s="11" t="str">
        <f t="shared" si="9"/>
        <v>¡Compra YA!</v>
      </c>
      <c r="R914" s="12"/>
      <c r="S914" s="8"/>
      <c r="T914" s="12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5.75" customHeight="1">
      <c r="A915" s="5" t="s">
        <v>1755</v>
      </c>
      <c r="B915" s="6" t="s">
        <v>1756</v>
      </c>
      <c r="C915" s="6">
        <f t="shared" si="1"/>
        <v>4835</v>
      </c>
      <c r="D915" s="6">
        <f t="shared" si="55"/>
        <v>166</v>
      </c>
      <c r="E915" s="7">
        <v>0.0</v>
      </c>
      <c r="F915" s="8"/>
      <c r="G915" s="6">
        <f t="shared" si="3"/>
        <v>4483</v>
      </c>
      <c r="H915" s="6">
        <f t="shared" si="4"/>
        <v>9484</v>
      </c>
      <c r="I915" s="6">
        <f t="shared" si="5"/>
        <v>23936</v>
      </c>
      <c r="J915" s="6">
        <f t="shared" si="6"/>
        <v>29380</v>
      </c>
      <c r="K915" s="9"/>
      <c r="L915" s="9"/>
      <c r="M915" s="9"/>
      <c r="N915" s="9">
        <f t="shared" si="7"/>
        <v>6.076525336</v>
      </c>
      <c r="O915" s="10">
        <f t="shared" si="8"/>
        <v>32.35556547</v>
      </c>
      <c r="P915" s="9">
        <v>30.0</v>
      </c>
      <c r="Q915" s="11" t="str">
        <f t="shared" si="9"/>
        <v>cobertura correcta</v>
      </c>
      <c r="R915" s="12"/>
      <c r="S915" s="8"/>
      <c r="T915" s="12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5.75" customHeight="1">
      <c r="A916" s="5" t="s">
        <v>1757</v>
      </c>
      <c r="B916" s="6" t="s">
        <v>1758</v>
      </c>
      <c r="C916" s="6">
        <f t="shared" si="1"/>
        <v>7651</v>
      </c>
      <c r="D916" s="6">
        <f t="shared" si="55"/>
        <v>196</v>
      </c>
      <c r="E916" s="7">
        <v>0.0</v>
      </c>
      <c r="F916" s="8"/>
      <c r="G916" s="6">
        <f t="shared" si="3"/>
        <v>2395</v>
      </c>
      <c r="H916" s="6">
        <f t="shared" si="4"/>
        <v>11132</v>
      </c>
      <c r="I916" s="6">
        <f t="shared" si="5"/>
        <v>20076</v>
      </c>
      <c r="J916" s="6">
        <f t="shared" si="6"/>
        <v>89018</v>
      </c>
      <c r="K916" s="9"/>
      <c r="L916" s="9"/>
      <c r="M916" s="9"/>
      <c r="N916" s="9">
        <f t="shared" si="7"/>
        <v>11.63481898</v>
      </c>
      <c r="O916" s="10">
        <f t="shared" si="8"/>
        <v>95.83716075</v>
      </c>
      <c r="P916" s="9">
        <v>30.0</v>
      </c>
      <c r="Q916" s="11" t="str">
        <f t="shared" si="9"/>
        <v>cobertura correcta</v>
      </c>
      <c r="R916" s="12"/>
      <c r="S916" s="8"/>
      <c r="T916" s="12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5" t="s">
        <v>1759</v>
      </c>
      <c r="B917" s="6" t="s">
        <v>1760</v>
      </c>
      <c r="C917" s="6">
        <f t="shared" si="1"/>
        <v>1324</v>
      </c>
      <c r="D917" s="6">
        <f t="shared" si="55"/>
        <v>138</v>
      </c>
      <c r="E917" s="7">
        <v>0.0</v>
      </c>
      <c r="F917" s="8"/>
      <c r="G917" s="6">
        <f t="shared" si="3"/>
        <v>4563</v>
      </c>
      <c r="H917" s="6">
        <f t="shared" si="4"/>
        <v>12324</v>
      </c>
      <c r="I917" s="6">
        <f t="shared" si="5"/>
        <v>25717</v>
      </c>
      <c r="J917" s="6">
        <f t="shared" si="6"/>
        <v>59572</v>
      </c>
      <c r="K917" s="9"/>
      <c r="L917" s="9"/>
      <c r="M917" s="9"/>
      <c r="N917" s="9">
        <f t="shared" si="7"/>
        <v>44.9939577</v>
      </c>
      <c r="O917" s="10">
        <f t="shared" si="8"/>
        <v>8.704799474</v>
      </c>
      <c r="P917" s="9">
        <v>30.0</v>
      </c>
      <c r="Q917" s="11" t="str">
        <f t="shared" si="9"/>
        <v>¡Compra YA!</v>
      </c>
      <c r="R917" s="12"/>
      <c r="S917" s="8"/>
      <c r="T917" s="12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5" t="s">
        <v>1761</v>
      </c>
      <c r="B918" s="6" t="s">
        <v>1762</v>
      </c>
      <c r="C918" s="6">
        <f t="shared" si="1"/>
        <v>6062</v>
      </c>
      <c r="D918" s="6">
        <f t="shared" si="55"/>
        <v>95</v>
      </c>
      <c r="E918" s="7">
        <v>0.0</v>
      </c>
      <c r="F918" s="8"/>
      <c r="G918" s="6">
        <f t="shared" si="3"/>
        <v>6090</v>
      </c>
      <c r="H918" s="6">
        <f t="shared" si="4"/>
        <v>12338</v>
      </c>
      <c r="I918" s="6">
        <f t="shared" si="5"/>
        <v>22024</v>
      </c>
      <c r="J918" s="6">
        <f t="shared" si="6"/>
        <v>33220</v>
      </c>
      <c r="K918" s="9"/>
      <c r="L918" s="9"/>
      <c r="M918" s="9"/>
      <c r="N918" s="9">
        <f t="shared" si="7"/>
        <v>5.480039591</v>
      </c>
      <c r="O918" s="10">
        <f t="shared" si="8"/>
        <v>29.86206897</v>
      </c>
      <c r="P918" s="9">
        <v>30.0</v>
      </c>
      <c r="Q918" s="11" t="str">
        <f t="shared" si="9"/>
        <v>¡Compra YA!</v>
      </c>
      <c r="R918" s="12"/>
      <c r="S918" s="8"/>
      <c r="T918" s="12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5" t="s">
        <v>1763</v>
      </c>
      <c r="B919" s="6" t="s">
        <v>1764</v>
      </c>
      <c r="C919" s="6">
        <f t="shared" si="1"/>
        <v>2980</v>
      </c>
      <c r="D919" s="6">
        <f t="shared" si="55"/>
        <v>83</v>
      </c>
      <c r="E919" s="7">
        <v>0.0</v>
      </c>
      <c r="F919" s="8"/>
      <c r="G919" s="6">
        <f t="shared" si="3"/>
        <v>5295</v>
      </c>
      <c r="H919" s="6">
        <f t="shared" si="4"/>
        <v>11923</v>
      </c>
      <c r="I919" s="6">
        <f t="shared" si="5"/>
        <v>21692</v>
      </c>
      <c r="J919" s="6">
        <f t="shared" si="6"/>
        <v>36711</v>
      </c>
      <c r="K919" s="9"/>
      <c r="L919" s="9"/>
      <c r="M919" s="9"/>
      <c r="N919" s="9">
        <f t="shared" si="7"/>
        <v>12.31912752</v>
      </c>
      <c r="O919" s="10">
        <f t="shared" si="8"/>
        <v>16.88385269</v>
      </c>
      <c r="P919" s="9">
        <v>30.0</v>
      </c>
      <c r="Q919" s="11" t="str">
        <f t="shared" si="9"/>
        <v>¡Compra YA!</v>
      </c>
      <c r="R919" s="12"/>
      <c r="S919" s="8"/>
      <c r="T919" s="12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5.75" customHeight="1">
      <c r="A920" s="5" t="s">
        <v>1765</v>
      </c>
      <c r="B920" s="6" t="s">
        <v>1766</v>
      </c>
      <c r="C920" s="6">
        <f t="shared" si="1"/>
        <v>4467</v>
      </c>
      <c r="D920" s="6">
        <f t="shared" si="55"/>
        <v>14</v>
      </c>
      <c r="E920" s="7">
        <v>0.0</v>
      </c>
      <c r="F920" s="8"/>
      <c r="G920" s="6">
        <f t="shared" si="3"/>
        <v>3620</v>
      </c>
      <c r="H920" s="6">
        <f t="shared" si="4"/>
        <v>13990</v>
      </c>
      <c r="I920" s="6">
        <f t="shared" si="5"/>
        <v>19468</v>
      </c>
      <c r="J920" s="6">
        <f t="shared" si="6"/>
        <v>46345</v>
      </c>
      <c r="K920" s="9"/>
      <c r="L920" s="9"/>
      <c r="M920" s="9"/>
      <c r="N920" s="9">
        <f t="shared" si="7"/>
        <v>10.37497202</v>
      </c>
      <c r="O920" s="10">
        <f t="shared" si="8"/>
        <v>37.01933702</v>
      </c>
      <c r="P920" s="9">
        <v>30.0</v>
      </c>
      <c r="Q920" s="11" t="str">
        <f t="shared" si="9"/>
        <v>cobertura correcta</v>
      </c>
      <c r="R920" s="12"/>
      <c r="S920" s="8"/>
      <c r="T920" s="12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5" t="s">
        <v>1767</v>
      </c>
      <c r="B921" s="6" t="s">
        <v>1768</v>
      </c>
      <c r="C921" s="6">
        <f t="shared" si="1"/>
        <v>4953</v>
      </c>
      <c r="D921" s="6">
        <f t="shared" si="55"/>
        <v>39</v>
      </c>
      <c r="E921" s="7">
        <v>0.0</v>
      </c>
      <c r="F921" s="8"/>
      <c r="G921" s="6">
        <f t="shared" si="3"/>
        <v>6775</v>
      </c>
      <c r="H921" s="6">
        <f t="shared" si="4"/>
        <v>17871</v>
      </c>
      <c r="I921" s="6">
        <f t="shared" si="5"/>
        <v>24651</v>
      </c>
      <c r="J921" s="6">
        <f t="shared" si="6"/>
        <v>57285</v>
      </c>
      <c r="K921" s="9"/>
      <c r="L921" s="9"/>
      <c r="M921" s="9"/>
      <c r="N921" s="9">
        <f t="shared" si="7"/>
        <v>11.56571775</v>
      </c>
      <c r="O921" s="10">
        <f t="shared" si="8"/>
        <v>21.93210332</v>
      </c>
      <c r="P921" s="9">
        <v>30.0</v>
      </c>
      <c r="Q921" s="11" t="str">
        <f t="shared" si="9"/>
        <v>¡Compra YA!</v>
      </c>
      <c r="R921" s="12"/>
      <c r="S921" s="8"/>
      <c r="T921" s="12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5" t="s">
        <v>1769</v>
      </c>
      <c r="B922" s="6" t="s">
        <v>1770</v>
      </c>
      <c r="C922" s="6">
        <f t="shared" si="1"/>
        <v>6761</v>
      </c>
      <c r="D922" s="6">
        <f t="shared" si="55"/>
        <v>194</v>
      </c>
      <c r="E922" s="7">
        <v>0.0</v>
      </c>
      <c r="F922" s="8"/>
      <c r="G922" s="6">
        <f t="shared" si="3"/>
        <v>2253</v>
      </c>
      <c r="H922" s="6">
        <f t="shared" si="4"/>
        <v>17566</v>
      </c>
      <c r="I922" s="6">
        <f t="shared" si="5"/>
        <v>28149</v>
      </c>
      <c r="J922" s="6">
        <f t="shared" si="6"/>
        <v>95341</v>
      </c>
      <c r="K922" s="9"/>
      <c r="L922" s="9"/>
      <c r="M922" s="9"/>
      <c r="N922" s="9">
        <f t="shared" si="7"/>
        <v>14.10161219</v>
      </c>
      <c r="O922" s="10">
        <f t="shared" si="8"/>
        <v>90.02663116</v>
      </c>
      <c r="P922" s="9">
        <v>30.0</v>
      </c>
      <c r="Q922" s="11" t="str">
        <f t="shared" si="9"/>
        <v>cobertura correcta</v>
      </c>
      <c r="R922" s="12"/>
      <c r="S922" s="8"/>
      <c r="T922" s="12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5" t="s">
        <v>1771</v>
      </c>
      <c r="B923" s="6" t="s">
        <v>1772</v>
      </c>
      <c r="C923" s="6">
        <f t="shared" si="1"/>
        <v>8661</v>
      </c>
      <c r="D923" s="6">
        <f t="shared" si="55"/>
        <v>101</v>
      </c>
      <c r="E923" s="7">
        <v>0.0</v>
      </c>
      <c r="F923" s="8"/>
      <c r="G923" s="6">
        <f t="shared" si="3"/>
        <v>3755</v>
      </c>
      <c r="H923" s="6">
        <f t="shared" si="4"/>
        <v>16278</v>
      </c>
      <c r="I923" s="6">
        <f t="shared" si="5"/>
        <v>23079</v>
      </c>
      <c r="J923" s="6">
        <f t="shared" si="6"/>
        <v>80397</v>
      </c>
      <c r="K923" s="9"/>
      <c r="L923" s="9"/>
      <c r="M923" s="9"/>
      <c r="N923" s="9">
        <f t="shared" si="7"/>
        <v>9.282646346</v>
      </c>
      <c r="O923" s="10">
        <f t="shared" si="8"/>
        <v>69.19573901</v>
      </c>
      <c r="P923" s="9">
        <v>30.0</v>
      </c>
      <c r="Q923" s="11" t="str">
        <f t="shared" si="9"/>
        <v>cobertura correcta</v>
      </c>
      <c r="R923" s="12"/>
      <c r="S923" s="8"/>
      <c r="T923" s="12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5.75" customHeight="1">
      <c r="A924" s="5" t="s">
        <v>1773</v>
      </c>
      <c r="B924" s="6" t="s">
        <v>1774</v>
      </c>
      <c r="C924" s="6">
        <f t="shared" si="1"/>
        <v>5569</v>
      </c>
      <c r="D924" s="6">
        <f t="shared" si="55"/>
        <v>147</v>
      </c>
      <c r="E924" s="7">
        <v>0.0</v>
      </c>
      <c r="F924" s="8"/>
      <c r="G924" s="6">
        <f t="shared" si="3"/>
        <v>4058</v>
      </c>
      <c r="H924" s="6">
        <f t="shared" si="4"/>
        <v>13132</v>
      </c>
      <c r="I924" s="6">
        <f t="shared" si="5"/>
        <v>20777</v>
      </c>
      <c r="J924" s="6">
        <f t="shared" si="6"/>
        <v>42672</v>
      </c>
      <c r="K924" s="9"/>
      <c r="L924" s="9"/>
      <c r="M924" s="9"/>
      <c r="N924" s="9">
        <f t="shared" si="7"/>
        <v>7.662416951</v>
      </c>
      <c r="O924" s="10">
        <f t="shared" si="8"/>
        <v>41.17052735</v>
      </c>
      <c r="P924" s="9">
        <v>30.0</v>
      </c>
      <c r="Q924" s="11" t="str">
        <f t="shared" si="9"/>
        <v>cobertura correcta</v>
      </c>
      <c r="R924" s="12"/>
      <c r="S924" s="8"/>
      <c r="T924" s="12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5" t="s">
        <v>1775</v>
      </c>
      <c r="B925" s="6" t="s">
        <v>1776</v>
      </c>
      <c r="C925" s="6">
        <f t="shared" si="1"/>
        <v>3979</v>
      </c>
      <c r="D925" s="6">
        <f t="shared" si="55"/>
        <v>0</v>
      </c>
      <c r="E925" s="7">
        <v>0.0</v>
      </c>
      <c r="F925" s="8"/>
      <c r="G925" s="6">
        <f t="shared" si="3"/>
        <v>5618</v>
      </c>
      <c r="H925" s="6">
        <f t="shared" si="4"/>
        <v>16363</v>
      </c>
      <c r="I925" s="6">
        <f t="shared" si="5"/>
        <v>23938</v>
      </c>
      <c r="J925" s="6">
        <f t="shared" si="6"/>
        <v>83993</v>
      </c>
      <c r="K925" s="9"/>
      <c r="L925" s="9"/>
      <c r="M925" s="9"/>
      <c r="N925" s="9">
        <f t="shared" si="7"/>
        <v>21.10907263</v>
      </c>
      <c r="O925" s="10">
        <f t="shared" si="8"/>
        <v>21.24777501</v>
      </c>
      <c r="P925" s="9">
        <v>20.0</v>
      </c>
      <c r="Q925" s="11" t="str">
        <f t="shared" si="9"/>
        <v>cobertura correcta</v>
      </c>
      <c r="R925" s="12"/>
      <c r="S925" s="8"/>
      <c r="T925" s="12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5" t="s">
        <v>1777</v>
      </c>
      <c r="B926" s="6" t="s">
        <v>1778</v>
      </c>
      <c r="C926" s="6">
        <f t="shared" si="1"/>
        <v>7737</v>
      </c>
      <c r="D926" s="6">
        <f t="shared" si="55"/>
        <v>159</v>
      </c>
      <c r="E926" s="7">
        <v>0.0</v>
      </c>
      <c r="F926" s="8"/>
      <c r="G926" s="6">
        <f t="shared" si="3"/>
        <v>1483</v>
      </c>
      <c r="H926" s="6">
        <f t="shared" si="4"/>
        <v>11232</v>
      </c>
      <c r="I926" s="6">
        <f t="shared" si="5"/>
        <v>24260</v>
      </c>
      <c r="J926" s="6">
        <f t="shared" si="6"/>
        <v>98146</v>
      </c>
      <c r="K926" s="9"/>
      <c r="L926" s="9"/>
      <c r="M926" s="9"/>
      <c r="N926" s="9">
        <f t="shared" si="7"/>
        <v>12.68527853</v>
      </c>
      <c r="O926" s="10">
        <f t="shared" si="8"/>
        <v>156.5138233</v>
      </c>
      <c r="P926" s="9">
        <v>20.0</v>
      </c>
      <c r="Q926" s="11" t="str">
        <f t="shared" si="9"/>
        <v>cobertura correcta</v>
      </c>
      <c r="R926" s="12"/>
      <c r="S926" s="8"/>
      <c r="T926" s="12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5" t="s">
        <v>1779</v>
      </c>
      <c r="B927" s="6" t="s">
        <v>1780</v>
      </c>
      <c r="C927" s="6">
        <f t="shared" si="1"/>
        <v>7269</v>
      </c>
      <c r="D927" s="6">
        <f t="shared" si="55"/>
        <v>120</v>
      </c>
      <c r="E927" s="7">
        <v>0.0</v>
      </c>
      <c r="F927" s="8"/>
      <c r="G927" s="6">
        <f t="shared" si="3"/>
        <v>7336</v>
      </c>
      <c r="H927" s="6">
        <f t="shared" si="4"/>
        <v>17648</v>
      </c>
      <c r="I927" s="6">
        <f t="shared" si="5"/>
        <v>21935</v>
      </c>
      <c r="J927" s="6">
        <f t="shared" si="6"/>
        <v>93020</v>
      </c>
      <c r="K927" s="9"/>
      <c r="L927" s="9"/>
      <c r="M927" s="9"/>
      <c r="N927" s="9">
        <f t="shared" si="7"/>
        <v>12.79680836</v>
      </c>
      <c r="O927" s="10">
        <f t="shared" si="8"/>
        <v>29.72600872</v>
      </c>
      <c r="P927" s="9">
        <v>7.0</v>
      </c>
      <c r="Q927" s="11" t="str">
        <f t="shared" si="9"/>
        <v>cobertura correcta</v>
      </c>
      <c r="R927" s="12"/>
      <c r="S927" s="8"/>
      <c r="T927" s="12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5.75" customHeight="1">
      <c r="A928" s="5" t="s">
        <v>1781</v>
      </c>
      <c r="B928" s="6" t="s">
        <v>1782</v>
      </c>
      <c r="C928" s="6">
        <f t="shared" si="1"/>
        <v>4127</v>
      </c>
      <c r="D928" s="6">
        <f t="shared" si="55"/>
        <v>45</v>
      </c>
      <c r="E928" s="7">
        <v>0.0</v>
      </c>
      <c r="F928" s="8"/>
      <c r="G928" s="6">
        <f t="shared" si="3"/>
        <v>6458</v>
      </c>
      <c r="H928" s="6">
        <f t="shared" si="4"/>
        <v>12648</v>
      </c>
      <c r="I928" s="6">
        <f t="shared" si="5"/>
        <v>28056</v>
      </c>
      <c r="J928" s="6">
        <f t="shared" si="6"/>
        <v>77622</v>
      </c>
      <c r="K928" s="9"/>
      <c r="L928" s="9"/>
      <c r="M928" s="9"/>
      <c r="N928" s="9">
        <f t="shared" si="7"/>
        <v>18.80833535</v>
      </c>
      <c r="O928" s="10">
        <f t="shared" si="8"/>
        <v>19.17157015</v>
      </c>
      <c r="P928" s="9">
        <v>7.0</v>
      </c>
      <c r="Q928" s="11" t="str">
        <f t="shared" si="9"/>
        <v>cobertura correcta</v>
      </c>
      <c r="R928" s="12"/>
      <c r="S928" s="8"/>
      <c r="T928" s="12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5" t="s">
        <v>1783</v>
      </c>
      <c r="B929" s="6" t="s">
        <v>1784</v>
      </c>
      <c r="C929" s="6">
        <f t="shared" si="1"/>
        <v>3381</v>
      </c>
      <c r="D929" s="6">
        <f t="shared" si="55"/>
        <v>184</v>
      </c>
      <c r="E929" s="7">
        <v>0.0</v>
      </c>
      <c r="F929" s="8"/>
      <c r="G929" s="6">
        <f t="shared" si="3"/>
        <v>6612</v>
      </c>
      <c r="H929" s="6">
        <f t="shared" si="4"/>
        <v>9924</v>
      </c>
      <c r="I929" s="6">
        <f t="shared" si="5"/>
        <v>28625</v>
      </c>
      <c r="J929" s="6">
        <f t="shared" si="6"/>
        <v>32636</v>
      </c>
      <c r="K929" s="9"/>
      <c r="L929" s="9"/>
      <c r="M929" s="9"/>
      <c r="N929" s="9">
        <f t="shared" si="7"/>
        <v>9.652765454</v>
      </c>
      <c r="O929" s="10">
        <f t="shared" si="8"/>
        <v>15.34029038</v>
      </c>
      <c r="P929" s="9">
        <v>7.0</v>
      </c>
      <c r="Q929" s="11" t="str">
        <f t="shared" si="9"/>
        <v>cobertura correcta</v>
      </c>
      <c r="R929" s="12"/>
      <c r="S929" s="8"/>
      <c r="T929" s="12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5" t="s">
        <v>1785</v>
      </c>
      <c r="B930" s="6" t="s">
        <v>1786</v>
      </c>
      <c r="C930" s="6">
        <f t="shared" si="1"/>
        <v>4673</v>
      </c>
      <c r="D930" s="6">
        <f t="shared" si="55"/>
        <v>21</v>
      </c>
      <c r="E930" s="7">
        <v>0.0</v>
      </c>
      <c r="F930" s="8"/>
      <c r="G930" s="6">
        <f t="shared" si="3"/>
        <v>8033</v>
      </c>
      <c r="H930" s="6">
        <f t="shared" si="4"/>
        <v>16498</v>
      </c>
      <c r="I930" s="6">
        <f t="shared" si="5"/>
        <v>28172</v>
      </c>
      <c r="J930" s="6">
        <f t="shared" si="6"/>
        <v>38719</v>
      </c>
      <c r="K930" s="9"/>
      <c r="L930" s="9"/>
      <c r="M930" s="9"/>
      <c r="N930" s="9">
        <f t="shared" si="7"/>
        <v>8.285683715</v>
      </c>
      <c r="O930" s="10">
        <f t="shared" si="8"/>
        <v>17.45176148</v>
      </c>
      <c r="P930" s="9">
        <v>7.0</v>
      </c>
      <c r="Q930" s="11" t="str">
        <f t="shared" si="9"/>
        <v>cobertura correcta</v>
      </c>
      <c r="R930" s="12"/>
      <c r="S930" s="8"/>
      <c r="T930" s="12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5" t="s">
        <v>1787</v>
      </c>
      <c r="B931" s="6" t="s">
        <v>1788</v>
      </c>
      <c r="C931" s="6">
        <f t="shared" si="1"/>
        <v>8705</v>
      </c>
      <c r="D931" s="6">
        <f t="shared" si="55"/>
        <v>58</v>
      </c>
      <c r="E931" s="7">
        <v>0.0</v>
      </c>
      <c r="F931" s="8"/>
      <c r="G931" s="6">
        <f t="shared" si="3"/>
        <v>7186</v>
      </c>
      <c r="H931" s="6">
        <f t="shared" si="4"/>
        <v>14657</v>
      </c>
      <c r="I931" s="6">
        <f t="shared" si="5"/>
        <v>26643</v>
      </c>
      <c r="J931" s="6">
        <f t="shared" si="6"/>
        <v>46103</v>
      </c>
      <c r="K931" s="9"/>
      <c r="L931" s="9"/>
      <c r="M931" s="9"/>
      <c r="N931" s="9">
        <f t="shared" si="7"/>
        <v>5.296151637</v>
      </c>
      <c r="O931" s="10">
        <f t="shared" si="8"/>
        <v>36.34149736</v>
      </c>
      <c r="P931" s="9">
        <v>7.0</v>
      </c>
      <c r="Q931" s="11" t="str">
        <f t="shared" si="9"/>
        <v>cobertura correcta</v>
      </c>
      <c r="R931" s="12"/>
      <c r="S931" s="8"/>
      <c r="T931" s="12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5.75" customHeight="1">
      <c r="A932" s="5" t="s">
        <v>1789</v>
      </c>
      <c r="B932" s="6" t="s">
        <v>1790</v>
      </c>
      <c r="C932" s="6">
        <f t="shared" si="1"/>
        <v>5129</v>
      </c>
      <c r="D932" s="6">
        <f t="shared" si="55"/>
        <v>40</v>
      </c>
      <c r="E932" s="7">
        <v>0.0</v>
      </c>
      <c r="F932" s="8"/>
      <c r="G932" s="6">
        <f t="shared" si="3"/>
        <v>4672</v>
      </c>
      <c r="H932" s="6">
        <f t="shared" si="4"/>
        <v>14371</v>
      </c>
      <c r="I932" s="6">
        <f t="shared" si="5"/>
        <v>21275</v>
      </c>
      <c r="J932" s="6">
        <f t="shared" si="6"/>
        <v>54113</v>
      </c>
      <c r="K932" s="9"/>
      <c r="L932" s="9"/>
      <c r="M932" s="9"/>
      <c r="N932" s="9">
        <f t="shared" si="7"/>
        <v>10.55039969</v>
      </c>
      <c r="O932" s="10">
        <f t="shared" si="8"/>
        <v>32.93450342</v>
      </c>
      <c r="P932" s="9">
        <v>7.0</v>
      </c>
      <c r="Q932" s="11" t="str">
        <f t="shared" si="9"/>
        <v>cobertura correcta</v>
      </c>
      <c r="R932" s="12"/>
      <c r="S932" s="8"/>
      <c r="T932" s="12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5" t="s">
        <v>1791</v>
      </c>
      <c r="B933" s="6" t="s">
        <v>1792</v>
      </c>
      <c r="C933" s="6">
        <f t="shared" si="1"/>
        <v>7533</v>
      </c>
      <c r="D933" s="6">
        <f t="shared" si="55"/>
        <v>10</v>
      </c>
      <c r="E933" s="7">
        <v>0.0</v>
      </c>
      <c r="F933" s="8"/>
      <c r="G933" s="6">
        <f t="shared" si="3"/>
        <v>6735</v>
      </c>
      <c r="H933" s="6">
        <f t="shared" si="4"/>
        <v>12964</v>
      </c>
      <c r="I933" s="6">
        <f t="shared" si="5"/>
        <v>25032</v>
      </c>
      <c r="J933" s="6">
        <f t="shared" si="6"/>
        <v>82168</v>
      </c>
      <c r="K933" s="9"/>
      <c r="L933" s="9"/>
      <c r="M933" s="9"/>
      <c r="N933" s="9">
        <f t="shared" si="7"/>
        <v>10.90773928</v>
      </c>
      <c r="O933" s="10">
        <f t="shared" si="8"/>
        <v>33.5545657</v>
      </c>
      <c r="P933" s="9">
        <v>7.0</v>
      </c>
      <c r="Q933" s="11" t="str">
        <f t="shared" si="9"/>
        <v>cobertura correcta</v>
      </c>
      <c r="R933" s="12"/>
      <c r="S933" s="8"/>
      <c r="T933" s="12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5" t="s">
        <v>1793</v>
      </c>
      <c r="B934" s="6" t="s">
        <v>1794</v>
      </c>
      <c r="C934" s="6">
        <f t="shared" si="1"/>
        <v>3047</v>
      </c>
      <c r="D934" s="6">
        <f t="shared" si="55"/>
        <v>146</v>
      </c>
      <c r="E934" s="7">
        <v>0.0</v>
      </c>
      <c r="F934" s="8"/>
      <c r="G934" s="6">
        <f t="shared" si="3"/>
        <v>6303</v>
      </c>
      <c r="H934" s="6">
        <f t="shared" si="4"/>
        <v>16446</v>
      </c>
      <c r="I934" s="6">
        <f t="shared" si="5"/>
        <v>24129</v>
      </c>
      <c r="J934" s="6">
        <f t="shared" si="6"/>
        <v>58044</v>
      </c>
      <c r="K934" s="9"/>
      <c r="L934" s="9"/>
      <c r="M934" s="9"/>
      <c r="N934" s="9">
        <f t="shared" si="7"/>
        <v>19.04955694</v>
      </c>
      <c r="O934" s="10">
        <f t="shared" si="8"/>
        <v>14.5026178</v>
      </c>
      <c r="P934" s="9">
        <v>7.0</v>
      </c>
      <c r="Q934" s="11" t="str">
        <f t="shared" si="9"/>
        <v>cobertura correcta</v>
      </c>
      <c r="R934" s="12"/>
      <c r="S934" s="8"/>
      <c r="T934" s="12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5" t="s">
        <v>1795</v>
      </c>
      <c r="B935" s="6" t="s">
        <v>1796</v>
      </c>
      <c r="C935" s="6">
        <f t="shared" si="1"/>
        <v>7446</v>
      </c>
      <c r="D935" s="6">
        <f t="shared" si="55"/>
        <v>87</v>
      </c>
      <c r="E935" s="7">
        <v>0.0</v>
      </c>
      <c r="F935" s="8"/>
      <c r="G935" s="6">
        <f t="shared" si="3"/>
        <v>3370</v>
      </c>
      <c r="H935" s="6">
        <f t="shared" si="4"/>
        <v>16554</v>
      </c>
      <c r="I935" s="6">
        <f t="shared" si="5"/>
        <v>19307</v>
      </c>
      <c r="J935" s="6">
        <f t="shared" si="6"/>
        <v>60456</v>
      </c>
      <c r="K935" s="9"/>
      <c r="L935" s="9"/>
      <c r="M935" s="9"/>
      <c r="N935" s="9">
        <f t="shared" si="7"/>
        <v>8.119258662</v>
      </c>
      <c r="O935" s="10">
        <f t="shared" si="8"/>
        <v>66.28486647</v>
      </c>
      <c r="P935" s="9">
        <v>7.0</v>
      </c>
      <c r="Q935" s="11" t="str">
        <f t="shared" si="9"/>
        <v>cobertura correcta</v>
      </c>
      <c r="R935" s="12"/>
      <c r="S935" s="8"/>
      <c r="T935" s="12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5.75" customHeight="1">
      <c r="A936" s="5" t="s">
        <v>1797</v>
      </c>
      <c r="B936" s="6" t="s">
        <v>1798</v>
      </c>
      <c r="C936" s="6">
        <f t="shared" si="1"/>
        <v>3511</v>
      </c>
      <c r="D936" s="6">
        <f t="shared" si="55"/>
        <v>105</v>
      </c>
      <c r="E936" s="7">
        <v>0.0</v>
      </c>
      <c r="F936" s="8"/>
      <c r="G936" s="6">
        <f t="shared" si="3"/>
        <v>3801</v>
      </c>
      <c r="H936" s="6">
        <f t="shared" si="4"/>
        <v>15381</v>
      </c>
      <c r="I936" s="6">
        <f t="shared" si="5"/>
        <v>24626</v>
      </c>
      <c r="J936" s="6">
        <f t="shared" si="6"/>
        <v>44587</v>
      </c>
      <c r="K936" s="9"/>
      <c r="L936" s="9"/>
      <c r="M936" s="9"/>
      <c r="N936" s="9">
        <f t="shared" si="7"/>
        <v>12.69923099</v>
      </c>
      <c r="O936" s="10">
        <f t="shared" si="8"/>
        <v>27.71112865</v>
      </c>
      <c r="P936" s="9">
        <v>20.0</v>
      </c>
      <c r="Q936" s="11" t="str">
        <f t="shared" si="9"/>
        <v>cobertura correcta</v>
      </c>
      <c r="R936" s="12"/>
      <c r="S936" s="8"/>
      <c r="T936" s="12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5" t="s">
        <v>1799</v>
      </c>
      <c r="B937" s="6" t="s">
        <v>1800</v>
      </c>
      <c r="C937" s="6">
        <f t="shared" si="1"/>
        <v>6001</v>
      </c>
      <c r="D937" s="6">
        <f t="shared" si="55"/>
        <v>81</v>
      </c>
      <c r="E937" s="7">
        <v>0.0</v>
      </c>
      <c r="F937" s="8"/>
      <c r="G937" s="6">
        <f t="shared" si="3"/>
        <v>5701</v>
      </c>
      <c r="H937" s="6">
        <f t="shared" si="4"/>
        <v>13353</v>
      </c>
      <c r="I937" s="6">
        <f t="shared" si="5"/>
        <v>23699</v>
      </c>
      <c r="J937" s="6">
        <f t="shared" si="6"/>
        <v>64537</v>
      </c>
      <c r="K937" s="9"/>
      <c r="L937" s="9"/>
      <c r="M937" s="9"/>
      <c r="N937" s="9">
        <f t="shared" si="7"/>
        <v>10.75437427</v>
      </c>
      <c r="O937" s="10">
        <f t="shared" si="8"/>
        <v>31.57867041</v>
      </c>
      <c r="P937" s="9">
        <v>20.0</v>
      </c>
      <c r="Q937" s="11" t="str">
        <f t="shared" si="9"/>
        <v>cobertura correcta</v>
      </c>
      <c r="R937" s="12"/>
      <c r="S937" s="8"/>
      <c r="T937" s="12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5" t="s">
        <v>1801</v>
      </c>
      <c r="B938" s="6" t="s">
        <v>1802</v>
      </c>
      <c r="C938" s="6">
        <f t="shared" si="1"/>
        <v>8757</v>
      </c>
      <c r="D938" s="6">
        <f t="shared" si="55"/>
        <v>195</v>
      </c>
      <c r="E938" s="7">
        <v>0.0</v>
      </c>
      <c r="F938" s="8"/>
      <c r="G938" s="6">
        <f t="shared" si="3"/>
        <v>6960</v>
      </c>
      <c r="H938" s="6">
        <f t="shared" si="4"/>
        <v>11349</v>
      </c>
      <c r="I938" s="6">
        <f t="shared" si="5"/>
        <v>23940</v>
      </c>
      <c r="J938" s="6">
        <f t="shared" si="6"/>
        <v>48522</v>
      </c>
      <c r="K938" s="9"/>
      <c r="L938" s="9"/>
      <c r="M938" s="9"/>
      <c r="N938" s="9">
        <f t="shared" si="7"/>
        <v>5.540938678</v>
      </c>
      <c r="O938" s="10">
        <f t="shared" si="8"/>
        <v>37.74568966</v>
      </c>
      <c r="P938" s="9">
        <v>20.0</v>
      </c>
      <c r="Q938" s="11" t="str">
        <f t="shared" si="9"/>
        <v>cobertura correcta</v>
      </c>
      <c r="R938" s="12"/>
      <c r="S938" s="8"/>
      <c r="T938" s="12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5" t="s">
        <v>1803</v>
      </c>
      <c r="B939" s="6" t="s">
        <v>1804</v>
      </c>
      <c r="C939" s="6">
        <f t="shared" si="1"/>
        <v>5803</v>
      </c>
      <c r="D939" s="6">
        <f t="shared" si="55"/>
        <v>27</v>
      </c>
      <c r="E939" s="7">
        <v>0.0</v>
      </c>
      <c r="F939" s="8"/>
      <c r="G939" s="6">
        <f t="shared" si="3"/>
        <v>4480</v>
      </c>
      <c r="H939" s="6">
        <f t="shared" si="4"/>
        <v>15433</v>
      </c>
      <c r="I939" s="6">
        <f t="shared" si="5"/>
        <v>25398</v>
      </c>
      <c r="J939" s="6">
        <f t="shared" si="6"/>
        <v>66747</v>
      </c>
      <c r="K939" s="9"/>
      <c r="L939" s="9"/>
      <c r="M939" s="9"/>
      <c r="N939" s="9">
        <f t="shared" si="7"/>
        <v>11.50215406</v>
      </c>
      <c r="O939" s="10">
        <f t="shared" si="8"/>
        <v>38.859375</v>
      </c>
      <c r="P939" s="9">
        <v>20.0</v>
      </c>
      <c r="Q939" s="11" t="str">
        <f t="shared" si="9"/>
        <v>cobertura correcta</v>
      </c>
      <c r="R939" s="12"/>
      <c r="S939" s="8"/>
      <c r="T939" s="12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5.75" customHeight="1">
      <c r="A940" s="5" t="s">
        <v>1805</v>
      </c>
      <c r="B940" s="6" t="s">
        <v>1806</v>
      </c>
      <c r="C940" s="6">
        <f t="shared" si="1"/>
        <v>3422</v>
      </c>
      <c r="D940" s="6">
        <f t="shared" si="55"/>
        <v>13</v>
      </c>
      <c r="E940" s="7">
        <v>0.0</v>
      </c>
      <c r="F940" s="8"/>
      <c r="G940" s="6">
        <f t="shared" si="3"/>
        <v>4953</v>
      </c>
      <c r="H940" s="6">
        <f t="shared" si="4"/>
        <v>11678</v>
      </c>
      <c r="I940" s="6">
        <f t="shared" si="5"/>
        <v>20730</v>
      </c>
      <c r="J940" s="6">
        <f t="shared" si="6"/>
        <v>58218</v>
      </c>
      <c r="K940" s="9"/>
      <c r="L940" s="9"/>
      <c r="M940" s="9"/>
      <c r="N940" s="9">
        <f t="shared" si="7"/>
        <v>17.01285798</v>
      </c>
      <c r="O940" s="10">
        <f t="shared" si="8"/>
        <v>20.72683222</v>
      </c>
      <c r="P940" s="9">
        <v>20.0</v>
      </c>
      <c r="Q940" s="11" t="str">
        <f t="shared" si="9"/>
        <v>cobertura correcta</v>
      </c>
      <c r="R940" s="12"/>
      <c r="S940" s="8"/>
      <c r="T940" s="12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5" t="s">
        <v>1807</v>
      </c>
      <c r="B941" s="6" t="s">
        <v>1808</v>
      </c>
      <c r="C941" s="6">
        <f t="shared" si="1"/>
        <v>2381</v>
      </c>
      <c r="D941" s="6">
        <f t="shared" si="55"/>
        <v>106</v>
      </c>
      <c r="E941" s="7">
        <v>0.0</v>
      </c>
      <c r="F941" s="8"/>
      <c r="G941" s="6">
        <f t="shared" si="3"/>
        <v>8481</v>
      </c>
      <c r="H941" s="6">
        <f t="shared" si="4"/>
        <v>9088</v>
      </c>
      <c r="I941" s="6">
        <f t="shared" si="5"/>
        <v>19645</v>
      </c>
      <c r="J941" s="6">
        <f t="shared" si="6"/>
        <v>86431</v>
      </c>
      <c r="K941" s="9"/>
      <c r="L941" s="9"/>
      <c r="M941" s="9"/>
      <c r="N941" s="9">
        <f t="shared" si="7"/>
        <v>36.30029399</v>
      </c>
      <c r="O941" s="10">
        <f t="shared" si="8"/>
        <v>8.422355854</v>
      </c>
      <c r="P941" s="9">
        <v>20.0</v>
      </c>
      <c r="Q941" s="11" t="str">
        <f t="shared" si="9"/>
        <v>¡Compra YA!</v>
      </c>
      <c r="R941" s="12"/>
      <c r="S941" s="8"/>
      <c r="T941" s="12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5" t="s">
        <v>1809</v>
      </c>
      <c r="B942" s="6" t="s">
        <v>1810</v>
      </c>
      <c r="C942" s="6">
        <f t="shared" si="1"/>
        <v>2930</v>
      </c>
      <c r="D942" s="6">
        <f t="shared" si="55"/>
        <v>28</v>
      </c>
      <c r="E942" s="7">
        <v>0.0</v>
      </c>
      <c r="F942" s="8"/>
      <c r="G942" s="6">
        <f t="shared" si="3"/>
        <v>6394</v>
      </c>
      <c r="H942" s="6">
        <f t="shared" si="4"/>
        <v>16367</v>
      </c>
      <c r="I942" s="6">
        <f t="shared" si="5"/>
        <v>21415</v>
      </c>
      <c r="J942" s="6">
        <f t="shared" si="6"/>
        <v>84662</v>
      </c>
      <c r="K942" s="9"/>
      <c r="L942" s="9"/>
      <c r="M942" s="9"/>
      <c r="N942" s="9">
        <f t="shared" si="7"/>
        <v>28.89488055</v>
      </c>
      <c r="O942" s="10">
        <f t="shared" si="8"/>
        <v>13.74726306</v>
      </c>
      <c r="P942" s="9">
        <v>20.0</v>
      </c>
      <c r="Q942" s="11" t="str">
        <f t="shared" si="9"/>
        <v>¡Compra YA!</v>
      </c>
      <c r="R942" s="12"/>
      <c r="S942" s="8"/>
      <c r="T942" s="12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5" t="s">
        <v>1811</v>
      </c>
      <c r="B943" s="6" t="s">
        <v>1812</v>
      </c>
      <c r="C943" s="6">
        <f t="shared" si="1"/>
        <v>5399</v>
      </c>
      <c r="D943" s="6">
        <f t="shared" si="55"/>
        <v>157</v>
      </c>
      <c r="E943" s="7">
        <v>0.0</v>
      </c>
      <c r="F943" s="8"/>
      <c r="G943" s="6">
        <f t="shared" si="3"/>
        <v>5410</v>
      </c>
      <c r="H943" s="6">
        <f t="shared" si="4"/>
        <v>13531</v>
      </c>
      <c r="I943" s="6">
        <f t="shared" si="5"/>
        <v>26720</v>
      </c>
      <c r="J943" s="6">
        <f t="shared" si="6"/>
        <v>35710</v>
      </c>
      <c r="K943" s="9"/>
      <c r="L943" s="9"/>
      <c r="M943" s="9"/>
      <c r="N943" s="9">
        <f t="shared" si="7"/>
        <v>6.614187813</v>
      </c>
      <c r="O943" s="10">
        <f t="shared" si="8"/>
        <v>29.93900185</v>
      </c>
      <c r="P943" s="9">
        <v>7.0</v>
      </c>
      <c r="Q943" s="11" t="str">
        <f t="shared" si="9"/>
        <v>cobertura correcta</v>
      </c>
      <c r="R943" s="12"/>
      <c r="S943" s="8"/>
      <c r="T943" s="12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5.75" customHeight="1">
      <c r="A944" s="5" t="s">
        <v>1813</v>
      </c>
      <c r="B944" s="6" t="s">
        <v>1814</v>
      </c>
      <c r="C944" s="6">
        <f t="shared" si="1"/>
        <v>6932</v>
      </c>
      <c r="D944" s="6">
        <f t="shared" si="55"/>
        <v>28</v>
      </c>
      <c r="E944" s="7">
        <v>0.0</v>
      </c>
      <c r="F944" s="8"/>
      <c r="G944" s="6">
        <f t="shared" si="3"/>
        <v>3404</v>
      </c>
      <c r="H944" s="6">
        <f t="shared" si="4"/>
        <v>14986</v>
      </c>
      <c r="I944" s="6">
        <f t="shared" si="5"/>
        <v>27872</v>
      </c>
      <c r="J944" s="6">
        <f t="shared" si="6"/>
        <v>41954</v>
      </c>
      <c r="K944" s="9"/>
      <c r="L944" s="9"/>
      <c r="M944" s="9"/>
      <c r="N944" s="9">
        <f t="shared" si="7"/>
        <v>6.052221581</v>
      </c>
      <c r="O944" s="10">
        <f t="shared" si="8"/>
        <v>61.09283196</v>
      </c>
      <c r="P944" s="9">
        <v>7.0</v>
      </c>
      <c r="Q944" s="11" t="str">
        <f t="shared" si="9"/>
        <v>cobertura correcta</v>
      </c>
      <c r="R944" s="12"/>
      <c r="S944" s="8"/>
      <c r="T944" s="12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5" t="s">
        <v>1815</v>
      </c>
      <c r="B945" s="6" t="s">
        <v>1816</v>
      </c>
      <c r="C945" s="6">
        <f t="shared" si="1"/>
        <v>8225</v>
      </c>
      <c r="D945" s="6">
        <f t="shared" si="55"/>
        <v>42</v>
      </c>
      <c r="E945" s="7">
        <v>0.0</v>
      </c>
      <c r="F945" s="8"/>
      <c r="G945" s="6">
        <f t="shared" si="3"/>
        <v>1135</v>
      </c>
      <c r="H945" s="6">
        <f t="shared" si="4"/>
        <v>18094</v>
      </c>
      <c r="I945" s="6">
        <f t="shared" si="5"/>
        <v>24482</v>
      </c>
      <c r="J945" s="6">
        <f t="shared" si="6"/>
        <v>45058</v>
      </c>
      <c r="K945" s="9"/>
      <c r="L945" s="9"/>
      <c r="M945" s="9"/>
      <c r="N945" s="9">
        <f t="shared" si="7"/>
        <v>5.478176292</v>
      </c>
      <c r="O945" s="10">
        <f t="shared" si="8"/>
        <v>217.4008811</v>
      </c>
      <c r="P945" s="9">
        <v>10.0</v>
      </c>
      <c r="Q945" s="11" t="str">
        <f t="shared" si="9"/>
        <v>cobertura correcta</v>
      </c>
      <c r="R945" s="12"/>
      <c r="S945" s="8"/>
      <c r="T945" s="12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5" t="s">
        <v>1817</v>
      </c>
      <c r="B946" s="6" t="s">
        <v>1818</v>
      </c>
      <c r="C946" s="6">
        <f t="shared" si="1"/>
        <v>2275</v>
      </c>
      <c r="D946" s="6">
        <f t="shared" si="55"/>
        <v>185</v>
      </c>
      <c r="E946" s="7">
        <v>0.0</v>
      </c>
      <c r="F946" s="8"/>
      <c r="G946" s="6">
        <f t="shared" si="3"/>
        <v>1327</v>
      </c>
      <c r="H946" s="6">
        <f t="shared" si="4"/>
        <v>15584</v>
      </c>
      <c r="I946" s="6">
        <f t="shared" si="5"/>
        <v>20448</v>
      </c>
      <c r="J946" s="6">
        <f t="shared" si="6"/>
        <v>40603</v>
      </c>
      <c r="K946" s="9"/>
      <c r="L946" s="9"/>
      <c r="M946" s="9"/>
      <c r="N946" s="9">
        <f t="shared" si="7"/>
        <v>17.84747253</v>
      </c>
      <c r="O946" s="10">
        <f t="shared" si="8"/>
        <v>51.43180106</v>
      </c>
      <c r="P946" s="9">
        <v>10.0</v>
      </c>
      <c r="Q946" s="11" t="str">
        <f t="shared" si="9"/>
        <v>cobertura correcta</v>
      </c>
      <c r="R946" s="12"/>
      <c r="S946" s="8"/>
      <c r="T946" s="12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5" t="s">
        <v>1819</v>
      </c>
      <c r="B947" s="6" t="s">
        <v>1820</v>
      </c>
      <c r="C947" s="6">
        <f t="shared" si="1"/>
        <v>5212</v>
      </c>
      <c r="D947" s="6">
        <f t="shared" si="55"/>
        <v>167</v>
      </c>
      <c r="E947" s="7">
        <v>0.0</v>
      </c>
      <c r="F947" s="8"/>
      <c r="G947" s="6">
        <f t="shared" si="3"/>
        <v>6433</v>
      </c>
      <c r="H947" s="6">
        <f t="shared" si="4"/>
        <v>17559</v>
      </c>
      <c r="I947" s="6">
        <f t="shared" si="5"/>
        <v>23650</v>
      </c>
      <c r="J947" s="6">
        <f t="shared" si="6"/>
        <v>62457</v>
      </c>
      <c r="K947" s="9"/>
      <c r="L947" s="9"/>
      <c r="M947" s="9"/>
      <c r="N947" s="9">
        <f t="shared" si="7"/>
        <v>11.98330775</v>
      </c>
      <c r="O947" s="10">
        <f t="shared" si="8"/>
        <v>24.30592259</v>
      </c>
      <c r="P947" s="9">
        <v>10.0</v>
      </c>
      <c r="Q947" s="11" t="str">
        <f t="shared" si="9"/>
        <v>cobertura correcta</v>
      </c>
      <c r="R947" s="12"/>
      <c r="S947" s="8"/>
      <c r="T947" s="12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5.75" customHeight="1">
      <c r="A948" s="5" t="s">
        <v>1821</v>
      </c>
      <c r="B948" s="6" t="s">
        <v>1822</v>
      </c>
      <c r="C948" s="6">
        <f t="shared" si="1"/>
        <v>2382</v>
      </c>
      <c r="D948" s="6">
        <f t="shared" si="55"/>
        <v>131</v>
      </c>
      <c r="E948" s="7">
        <v>0.0</v>
      </c>
      <c r="F948" s="8"/>
      <c r="G948" s="6">
        <f t="shared" si="3"/>
        <v>6259</v>
      </c>
      <c r="H948" s="6">
        <f t="shared" si="4"/>
        <v>14831</v>
      </c>
      <c r="I948" s="6">
        <f t="shared" si="5"/>
        <v>19172</v>
      </c>
      <c r="J948" s="6">
        <f t="shared" si="6"/>
        <v>89507</v>
      </c>
      <c r="K948" s="9"/>
      <c r="L948" s="9"/>
      <c r="M948" s="9"/>
      <c r="N948" s="9">
        <f t="shared" si="7"/>
        <v>37.57640638</v>
      </c>
      <c r="O948" s="10">
        <f t="shared" si="8"/>
        <v>11.41715929</v>
      </c>
      <c r="P948" s="9">
        <v>10.0</v>
      </c>
      <c r="Q948" s="11" t="str">
        <f t="shared" si="9"/>
        <v>cobertura correcta</v>
      </c>
      <c r="R948" s="12"/>
      <c r="S948" s="8"/>
      <c r="T948" s="12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5.75" customHeight="1">
      <c r="A949" s="5" t="s">
        <v>1823</v>
      </c>
      <c r="B949" s="6" t="s">
        <v>1824</v>
      </c>
      <c r="C949" s="6">
        <f t="shared" si="1"/>
        <v>5069</v>
      </c>
      <c r="D949" s="6">
        <f t="shared" si="55"/>
        <v>2</v>
      </c>
      <c r="E949" s="7">
        <v>0.0</v>
      </c>
      <c r="F949" s="8"/>
      <c r="G949" s="6">
        <f t="shared" si="3"/>
        <v>7920</v>
      </c>
      <c r="H949" s="6">
        <f t="shared" si="4"/>
        <v>10321</v>
      </c>
      <c r="I949" s="6">
        <f t="shared" si="5"/>
        <v>23677</v>
      </c>
      <c r="J949" s="6">
        <f t="shared" si="6"/>
        <v>46663</v>
      </c>
      <c r="K949" s="9"/>
      <c r="L949" s="9"/>
      <c r="M949" s="9"/>
      <c r="N949" s="9">
        <f t="shared" si="7"/>
        <v>9.205563227</v>
      </c>
      <c r="O949" s="10">
        <f t="shared" si="8"/>
        <v>19.20075758</v>
      </c>
      <c r="P949" s="9">
        <v>10.0</v>
      </c>
      <c r="Q949" s="11" t="str">
        <f t="shared" si="9"/>
        <v>cobertura correcta</v>
      </c>
      <c r="R949" s="12"/>
      <c r="S949" s="8"/>
      <c r="T949" s="12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5" t="s">
        <v>1825</v>
      </c>
      <c r="B950" s="6" t="s">
        <v>1826</v>
      </c>
      <c r="C950" s="6">
        <f t="shared" si="1"/>
        <v>4865</v>
      </c>
      <c r="D950" s="6">
        <f t="shared" si="55"/>
        <v>61</v>
      </c>
      <c r="E950" s="7">
        <v>0.0</v>
      </c>
      <c r="F950" s="8"/>
      <c r="G950" s="6">
        <f t="shared" si="3"/>
        <v>1329</v>
      </c>
      <c r="H950" s="6">
        <f t="shared" si="4"/>
        <v>14309</v>
      </c>
      <c r="I950" s="6">
        <f t="shared" si="5"/>
        <v>25939</v>
      </c>
      <c r="J950" s="6">
        <f t="shared" si="6"/>
        <v>82417</v>
      </c>
      <c r="K950" s="9"/>
      <c r="L950" s="9"/>
      <c r="M950" s="9"/>
      <c r="N950" s="9">
        <f t="shared" si="7"/>
        <v>16.94080164</v>
      </c>
      <c r="O950" s="10">
        <f t="shared" si="8"/>
        <v>109.8194131</v>
      </c>
      <c r="P950" s="9">
        <v>10.0</v>
      </c>
      <c r="Q950" s="11" t="str">
        <f t="shared" si="9"/>
        <v>cobertura correcta</v>
      </c>
      <c r="R950" s="12"/>
      <c r="S950" s="8"/>
      <c r="T950" s="12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5" t="s">
        <v>1827</v>
      </c>
      <c r="B951" s="6" t="s">
        <v>1828</v>
      </c>
      <c r="C951" s="6">
        <f t="shared" si="1"/>
        <v>3194</v>
      </c>
      <c r="D951" s="6">
        <f t="shared" si="55"/>
        <v>133</v>
      </c>
      <c r="E951" s="7">
        <v>0.0</v>
      </c>
      <c r="F951" s="8"/>
      <c r="G951" s="6">
        <f t="shared" si="3"/>
        <v>3190</v>
      </c>
      <c r="H951" s="6">
        <f t="shared" si="4"/>
        <v>15604</v>
      </c>
      <c r="I951" s="6">
        <f t="shared" si="5"/>
        <v>19640</v>
      </c>
      <c r="J951" s="6">
        <f t="shared" si="6"/>
        <v>70450</v>
      </c>
      <c r="K951" s="9"/>
      <c r="L951" s="9"/>
      <c r="M951" s="9"/>
      <c r="N951" s="9">
        <f t="shared" si="7"/>
        <v>22.05698184</v>
      </c>
      <c r="O951" s="10">
        <f t="shared" si="8"/>
        <v>30.03761755</v>
      </c>
      <c r="P951" s="9">
        <v>10.0</v>
      </c>
      <c r="Q951" s="11" t="str">
        <f t="shared" si="9"/>
        <v>cobertura correcta</v>
      </c>
      <c r="R951" s="12"/>
      <c r="S951" s="8"/>
      <c r="T951" s="12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5" t="s">
        <v>1829</v>
      </c>
      <c r="B952" s="6" t="s">
        <v>1830</v>
      </c>
      <c r="C952" s="6">
        <f t="shared" si="1"/>
        <v>7792</v>
      </c>
      <c r="D952" s="6">
        <f t="shared" si="55"/>
        <v>83</v>
      </c>
      <c r="E952" s="7">
        <v>0.0</v>
      </c>
      <c r="F952" s="8"/>
      <c r="G952" s="6">
        <f t="shared" si="3"/>
        <v>2358</v>
      </c>
      <c r="H952" s="6">
        <f t="shared" si="4"/>
        <v>17346</v>
      </c>
      <c r="I952" s="6">
        <f t="shared" si="5"/>
        <v>21088</v>
      </c>
      <c r="J952" s="6">
        <f t="shared" si="6"/>
        <v>67126</v>
      </c>
      <c r="K952" s="9"/>
      <c r="L952" s="9"/>
      <c r="M952" s="9"/>
      <c r="N952" s="9">
        <f t="shared" si="7"/>
        <v>8.61473306</v>
      </c>
      <c r="O952" s="10">
        <f t="shared" si="8"/>
        <v>99.13486005</v>
      </c>
      <c r="P952" s="9">
        <v>7.0</v>
      </c>
      <c r="Q952" s="11" t="str">
        <f t="shared" si="9"/>
        <v>cobertura correcta</v>
      </c>
      <c r="R952" s="12"/>
      <c r="S952" s="8"/>
      <c r="T952" s="12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5.75" customHeight="1">
      <c r="A953" s="5" t="s">
        <v>1831</v>
      </c>
      <c r="B953" s="6" t="s">
        <v>1832</v>
      </c>
      <c r="C953" s="6">
        <f t="shared" si="1"/>
        <v>3812</v>
      </c>
      <c r="D953" s="6">
        <f t="shared" si="55"/>
        <v>125</v>
      </c>
      <c r="E953" s="7">
        <v>0.0</v>
      </c>
      <c r="F953" s="8"/>
      <c r="G953" s="6">
        <f t="shared" si="3"/>
        <v>2784</v>
      </c>
      <c r="H953" s="6">
        <f t="shared" si="4"/>
        <v>9427</v>
      </c>
      <c r="I953" s="6">
        <f t="shared" si="5"/>
        <v>20194</v>
      </c>
      <c r="J953" s="6">
        <f t="shared" si="6"/>
        <v>66651</v>
      </c>
      <c r="K953" s="9"/>
      <c r="L953" s="9"/>
      <c r="M953" s="9"/>
      <c r="N953" s="9">
        <f t="shared" si="7"/>
        <v>17.48452256</v>
      </c>
      <c r="O953" s="10">
        <f t="shared" si="8"/>
        <v>41.07758621</v>
      </c>
      <c r="P953" s="9">
        <v>7.0</v>
      </c>
      <c r="Q953" s="11" t="str">
        <f t="shared" si="9"/>
        <v>cobertura correcta</v>
      </c>
      <c r="R953" s="12"/>
      <c r="S953" s="8"/>
      <c r="T953" s="12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5" t="s">
        <v>1833</v>
      </c>
      <c r="B954" s="6" t="s">
        <v>1834</v>
      </c>
      <c r="C954" s="6">
        <f t="shared" si="1"/>
        <v>7044</v>
      </c>
      <c r="D954" s="6">
        <f t="shared" si="55"/>
        <v>53</v>
      </c>
      <c r="E954" s="7">
        <v>0.0</v>
      </c>
      <c r="F954" s="8"/>
      <c r="G954" s="6">
        <f t="shared" si="3"/>
        <v>4227</v>
      </c>
      <c r="H954" s="6">
        <f t="shared" si="4"/>
        <v>16585</v>
      </c>
      <c r="I954" s="6">
        <f t="shared" si="5"/>
        <v>27211</v>
      </c>
      <c r="J954" s="6">
        <f t="shared" si="6"/>
        <v>75766</v>
      </c>
      <c r="K954" s="9"/>
      <c r="L954" s="9"/>
      <c r="M954" s="9"/>
      <c r="N954" s="9">
        <f t="shared" si="7"/>
        <v>10.75610449</v>
      </c>
      <c r="O954" s="10">
        <f t="shared" si="8"/>
        <v>49.99290277</v>
      </c>
      <c r="P954" s="9">
        <v>10.0</v>
      </c>
      <c r="Q954" s="11" t="str">
        <f t="shared" si="9"/>
        <v>cobertura correcta</v>
      </c>
      <c r="R954" s="12"/>
      <c r="S954" s="8"/>
      <c r="T954" s="12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5" t="s">
        <v>1835</v>
      </c>
      <c r="B955" s="6" t="s">
        <v>1836</v>
      </c>
      <c r="C955" s="6">
        <f t="shared" si="1"/>
        <v>6262</v>
      </c>
      <c r="D955" s="6">
        <f t="shared" si="55"/>
        <v>129</v>
      </c>
      <c r="E955" s="7">
        <v>0.0</v>
      </c>
      <c r="F955" s="8"/>
      <c r="G955" s="6">
        <f t="shared" si="3"/>
        <v>7046</v>
      </c>
      <c r="H955" s="6">
        <f t="shared" si="4"/>
        <v>17234</v>
      </c>
      <c r="I955" s="6">
        <f t="shared" si="5"/>
        <v>22109</v>
      </c>
      <c r="J955" s="6">
        <f t="shared" si="6"/>
        <v>57644</v>
      </c>
      <c r="K955" s="9"/>
      <c r="L955" s="9"/>
      <c r="M955" s="9"/>
      <c r="N955" s="9">
        <f t="shared" si="7"/>
        <v>9.205365698</v>
      </c>
      <c r="O955" s="10">
        <f t="shared" si="8"/>
        <v>26.66193585</v>
      </c>
      <c r="P955" s="9">
        <v>7.0</v>
      </c>
      <c r="Q955" s="11" t="str">
        <f t="shared" si="9"/>
        <v>cobertura correcta</v>
      </c>
      <c r="R955" s="12"/>
      <c r="S955" s="8"/>
      <c r="T955" s="12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5" t="s">
        <v>1837</v>
      </c>
      <c r="B956" s="6" t="s">
        <v>1838</v>
      </c>
      <c r="C956" s="6">
        <f t="shared" si="1"/>
        <v>5075</v>
      </c>
      <c r="D956" s="6">
        <f t="shared" si="55"/>
        <v>54</v>
      </c>
      <c r="E956" s="7">
        <v>0.0</v>
      </c>
      <c r="F956" s="8"/>
      <c r="G956" s="6">
        <f t="shared" si="3"/>
        <v>8992</v>
      </c>
      <c r="H956" s="6">
        <f t="shared" si="4"/>
        <v>15519</v>
      </c>
      <c r="I956" s="6">
        <f t="shared" si="5"/>
        <v>23536</v>
      </c>
      <c r="J956" s="6">
        <f t="shared" si="6"/>
        <v>33153</v>
      </c>
      <c r="K956" s="9"/>
      <c r="L956" s="9"/>
      <c r="M956" s="9"/>
      <c r="N956" s="9">
        <f t="shared" si="7"/>
        <v>6.532610837</v>
      </c>
      <c r="O956" s="10">
        <f t="shared" si="8"/>
        <v>16.93171708</v>
      </c>
      <c r="P956" s="9">
        <v>10.0</v>
      </c>
      <c r="Q956" s="11" t="str">
        <f t="shared" si="9"/>
        <v>cobertura correcta</v>
      </c>
      <c r="R956" s="12"/>
      <c r="S956" s="8"/>
      <c r="T956" s="12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5.75" customHeight="1">
      <c r="A957" s="5" t="s">
        <v>1839</v>
      </c>
      <c r="B957" s="6" t="s">
        <v>1840</v>
      </c>
      <c r="C957" s="6">
        <f t="shared" si="1"/>
        <v>6163</v>
      </c>
      <c r="D957" s="6">
        <f t="shared" si="55"/>
        <v>80</v>
      </c>
      <c r="E957" s="7">
        <v>0.0</v>
      </c>
      <c r="F957" s="8"/>
      <c r="G957" s="6">
        <f t="shared" si="3"/>
        <v>4837</v>
      </c>
      <c r="H957" s="6">
        <f t="shared" si="4"/>
        <v>15936</v>
      </c>
      <c r="I957" s="6">
        <f t="shared" si="5"/>
        <v>22576</v>
      </c>
      <c r="J957" s="6">
        <f t="shared" si="6"/>
        <v>41450</v>
      </c>
      <c r="K957" s="9"/>
      <c r="L957" s="9"/>
      <c r="M957" s="9"/>
      <c r="N957" s="9">
        <f t="shared" si="7"/>
        <v>6.725620639</v>
      </c>
      <c r="O957" s="10">
        <f t="shared" si="8"/>
        <v>38.22410585</v>
      </c>
      <c r="P957" s="9">
        <v>10.0</v>
      </c>
      <c r="Q957" s="11" t="str">
        <f t="shared" si="9"/>
        <v>cobertura correcta</v>
      </c>
      <c r="R957" s="12"/>
      <c r="S957" s="8"/>
      <c r="T957" s="12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5" t="s">
        <v>1841</v>
      </c>
      <c r="B958" s="6" t="s">
        <v>1842</v>
      </c>
      <c r="C958" s="6">
        <f t="shared" si="1"/>
        <v>6164</v>
      </c>
      <c r="D958" s="6">
        <f t="shared" si="55"/>
        <v>121</v>
      </c>
      <c r="E958" s="7">
        <v>0.0</v>
      </c>
      <c r="F958" s="8"/>
      <c r="G958" s="6">
        <f t="shared" si="3"/>
        <v>6904</v>
      </c>
      <c r="H958" s="6">
        <f t="shared" si="4"/>
        <v>18979</v>
      </c>
      <c r="I958" s="6">
        <f t="shared" si="5"/>
        <v>25561</v>
      </c>
      <c r="J958" s="6">
        <f t="shared" si="6"/>
        <v>30687</v>
      </c>
      <c r="K958" s="9"/>
      <c r="L958" s="9"/>
      <c r="M958" s="9"/>
      <c r="N958" s="9">
        <f t="shared" si="7"/>
        <v>4.978423102</v>
      </c>
      <c r="O958" s="10">
        <f t="shared" si="8"/>
        <v>26.78447277</v>
      </c>
      <c r="P958" s="9">
        <v>10.0</v>
      </c>
      <c r="Q958" s="11" t="str">
        <f t="shared" si="9"/>
        <v>cobertura correcta</v>
      </c>
      <c r="R958" s="12"/>
      <c r="S958" s="8"/>
      <c r="T958" s="12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5" t="s">
        <v>1843</v>
      </c>
      <c r="B959" s="6" t="s">
        <v>1844</v>
      </c>
      <c r="C959" s="6">
        <f t="shared" si="1"/>
        <v>6597</v>
      </c>
      <c r="D959" s="6">
        <f t="shared" si="55"/>
        <v>129</v>
      </c>
      <c r="E959" s="7">
        <v>0.0</v>
      </c>
      <c r="F959" s="8"/>
      <c r="G959" s="6">
        <f t="shared" si="3"/>
        <v>4272</v>
      </c>
      <c r="H959" s="6">
        <f t="shared" si="4"/>
        <v>14162</v>
      </c>
      <c r="I959" s="6">
        <f t="shared" si="5"/>
        <v>19077</v>
      </c>
      <c r="J959" s="6">
        <f t="shared" si="6"/>
        <v>70245</v>
      </c>
      <c r="K959" s="9"/>
      <c r="L959" s="9"/>
      <c r="M959" s="9"/>
      <c r="N959" s="9">
        <f t="shared" si="7"/>
        <v>10.64802183</v>
      </c>
      <c r="O959" s="10">
        <f t="shared" si="8"/>
        <v>46.32724719</v>
      </c>
      <c r="P959" s="9">
        <v>5.0</v>
      </c>
      <c r="Q959" s="11" t="str">
        <f t="shared" si="9"/>
        <v>cobertura correcta</v>
      </c>
      <c r="R959" s="12"/>
      <c r="S959" s="8"/>
      <c r="T959" s="12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5" t="s">
        <v>1845</v>
      </c>
      <c r="B960" s="6" t="s">
        <v>1846</v>
      </c>
      <c r="C960" s="6">
        <f t="shared" si="1"/>
        <v>8569</v>
      </c>
      <c r="D960" s="6">
        <f t="shared" si="55"/>
        <v>192</v>
      </c>
      <c r="E960" s="7">
        <v>0.0</v>
      </c>
      <c r="F960" s="8"/>
      <c r="G960" s="6">
        <f t="shared" si="3"/>
        <v>1102</v>
      </c>
      <c r="H960" s="6">
        <f t="shared" si="4"/>
        <v>13072</v>
      </c>
      <c r="I960" s="6">
        <f t="shared" si="5"/>
        <v>25528</v>
      </c>
      <c r="J960" s="6">
        <f t="shared" si="6"/>
        <v>89925</v>
      </c>
      <c r="K960" s="9"/>
      <c r="L960" s="9"/>
      <c r="M960" s="9"/>
      <c r="N960" s="9">
        <f t="shared" si="7"/>
        <v>10.49422336</v>
      </c>
      <c r="O960" s="10">
        <f t="shared" si="8"/>
        <v>233.2758621</v>
      </c>
      <c r="P960" s="9">
        <v>10.0</v>
      </c>
      <c r="Q960" s="11" t="str">
        <f t="shared" si="9"/>
        <v>cobertura correcta</v>
      </c>
      <c r="R960" s="12"/>
      <c r="S960" s="8"/>
      <c r="T960" s="12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5.75" customHeight="1">
      <c r="A961" s="5" t="s">
        <v>1847</v>
      </c>
      <c r="B961" s="6" t="s">
        <v>1848</v>
      </c>
      <c r="C961" s="6">
        <f t="shared" si="1"/>
        <v>1598</v>
      </c>
      <c r="D961" s="6">
        <f t="shared" si="55"/>
        <v>116</v>
      </c>
      <c r="E961" s="7">
        <v>0.0</v>
      </c>
      <c r="F961" s="8"/>
      <c r="G961" s="6">
        <f t="shared" si="3"/>
        <v>6954</v>
      </c>
      <c r="H961" s="6">
        <f t="shared" si="4"/>
        <v>15052</v>
      </c>
      <c r="I961" s="6">
        <f t="shared" si="5"/>
        <v>21597</v>
      </c>
      <c r="J961" s="6">
        <f t="shared" si="6"/>
        <v>34368</v>
      </c>
      <c r="K961" s="9"/>
      <c r="L961" s="9"/>
      <c r="M961" s="9"/>
      <c r="N961" s="9">
        <f t="shared" si="7"/>
        <v>21.5068836</v>
      </c>
      <c r="O961" s="10">
        <f t="shared" si="8"/>
        <v>6.893874029</v>
      </c>
      <c r="P961" s="9">
        <v>20.0</v>
      </c>
      <c r="Q961" s="11" t="str">
        <f t="shared" si="9"/>
        <v>¡Compra YA!</v>
      </c>
      <c r="R961" s="12"/>
      <c r="S961" s="8"/>
      <c r="T961" s="12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5.75" customHeight="1">
      <c r="A962" s="5" t="s">
        <v>1849</v>
      </c>
      <c r="B962" s="6" t="s">
        <v>1850</v>
      </c>
      <c r="C962" s="6">
        <f t="shared" si="1"/>
        <v>8184</v>
      </c>
      <c r="D962" s="6">
        <f t="shared" si="55"/>
        <v>134</v>
      </c>
      <c r="E962" s="7">
        <v>0.0</v>
      </c>
      <c r="F962" s="8"/>
      <c r="G962" s="6">
        <f t="shared" si="3"/>
        <v>4645</v>
      </c>
      <c r="H962" s="6">
        <f t="shared" si="4"/>
        <v>14903</v>
      </c>
      <c r="I962" s="6">
        <f t="shared" si="5"/>
        <v>21165</v>
      </c>
      <c r="J962" s="6">
        <f t="shared" si="6"/>
        <v>44760</v>
      </c>
      <c r="K962" s="9"/>
      <c r="L962" s="9"/>
      <c r="M962" s="9"/>
      <c r="N962" s="9">
        <f t="shared" si="7"/>
        <v>5.469208211</v>
      </c>
      <c r="O962" s="10">
        <f t="shared" si="8"/>
        <v>52.85683531</v>
      </c>
      <c r="P962" s="9">
        <v>15.0</v>
      </c>
      <c r="Q962" s="11" t="str">
        <f t="shared" si="9"/>
        <v>cobertura correcta</v>
      </c>
      <c r="R962" s="12"/>
      <c r="S962" s="8"/>
      <c r="T962" s="12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5" t="s">
        <v>1851</v>
      </c>
      <c r="B963" s="6" t="s">
        <v>1852</v>
      </c>
      <c r="C963" s="6">
        <f t="shared" si="1"/>
        <v>4535</v>
      </c>
      <c r="D963" s="6">
        <f t="shared" si="55"/>
        <v>2</v>
      </c>
      <c r="E963" s="7">
        <v>0.0</v>
      </c>
      <c r="F963" s="8"/>
      <c r="G963" s="6">
        <f t="shared" si="3"/>
        <v>2827</v>
      </c>
      <c r="H963" s="6">
        <f t="shared" si="4"/>
        <v>17056</v>
      </c>
      <c r="I963" s="6">
        <f t="shared" si="5"/>
        <v>20168</v>
      </c>
      <c r="J963" s="6">
        <f t="shared" si="6"/>
        <v>58384</v>
      </c>
      <c r="K963" s="9"/>
      <c r="L963" s="9"/>
      <c r="M963" s="9"/>
      <c r="N963" s="9">
        <f t="shared" si="7"/>
        <v>12.87409041</v>
      </c>
      <c r="O963" s="10">
        <f t="shared" si="8"/>
        <v>48.12522108</v>
      </c>
      <c r="P963" s="9">
        <v>15.0</v>
      </c>
      <c r="Q963" s="11" t="str">
        <f t="shared" si="9"/>
        <v>cobertura correcta</v>
      </c>
      <c r="R963" s="12"/>
      <c r="S963" s="8"/>
      <c r="T963" s="12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5" t="s">
        <v>1853</v>
      </c>
      <c r="B964" s="6" t="s">
        <v>1854</v>
      </c>
      <c r="C964" s="6">
        <f t="shared" si="1"/>
        <v>2219</v>
      </c>
      <c r="D964" s="6">
        <f t="shared" si="55"/>
        <v>105</v>
      </c>
      <c r="E964" s="7">
        <v>0.0</v>
      </c>
      <c r="F964" s="8"/>
      <c r="G964" s="6">
        <f t="shared" si="3"/>
        <v>3008</v>
      </c>
      <c r="H964" s="6">
        <f t="shared" si="4"/>
        <v>15540</v>
      </c>
      <c r="I964" s="6">
        <f t="shared" si="5"/>
        <v>28242</v>
      </c>
      <c r="J964" s="6">
        <f t="shared" si="6"/>
        <v>41652</v>
      </c>
      <c r="K964" s="9"/>
      <c r="L964" s="9"/>
      <c r="M964" s="9"/>
      <c r="N964" s="9">
        <f t="shared" si="7"/>
        <v>18.7706174</v>
      </c>
      <c r="O964" s="10">
        <f t="shared" si="8"/>
        <v>22.13098404</v>
      </c>
      <c r="P964" s="9">
        <v>15.0</v>
      </c>
      <c r="Q964" s="11" t="str">
        <f t="shared" si="9"/>
        <v>cobertura correcta</v>
      </c>
      <c r="R964" s="12"/>
      <c r="S964" s="8"/>
      <c r="T964" s="12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5" t="s">
        <v>1855</v>
      </c>
      <c r="B965" s="6" t="s">
        <v>1856</v>
      </c>
      <c r="C965" s="6">
        <f t="shared" si="1"/>
        <v>3255</v>
      </c>
      <c r="D965" s="6">
        <f t="shared" si="55"/>
        <v>108</v>
      </c>
      <c r="E965" s="7">
        <v>0.0</v>
      </c>
      <c r="F965" s="8"/>
      <c r="G965" s="6">
        <f t="shared" si="3"/>
        <v>5685</v>
      </c>
      <c r="H965" s="6">
        <f t="shared" si="4"/>
        <v>10044</v>
      </c>
      <c r="I965" s="6">
        <f t="shared" si="5"/>
        <v>24619</v>
      </c>
      <c r="J965" s="6">
        <f t="shared" si="6"/>
        <v>50759</v>
      </c>
      <c r="K965" s="9"/>
      <c r="L965" s="9"/>
      <c r="M965" s="9"/>
      <c r="N965" s="9">
        <f t="shared" si="7"/>
        <v>15.59416283</v>
      </c>
      <c r="O965" s="10">
        <f t="shared" si="8"/>
        <v>17.176781</v>
      </c>
      <c r="P965" s="9">
        <v>15.0</v>
      </c>
      <c r="Q965" s="11" t="str">
        <f t="shared" si="9"/>
        <v>cobertura correcta</v>
      </c>
      <c r="R965" s="12"/>
      <c r="S965" s="8"/>
      <c r="T965" s="12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5.75" customHeight="1">
      <c r="A966" s="5" t="s">
        <v>1857</v>
      </c>
      <c r="B966" s="6" t="s">
        <v>1858</v>
      </c>
      <c r="C966" s="6">
        <f t="shared" si="1"/>
        <v>2660</v>
      </c>
      <c r="D966" s="6">
        <f t="shared" si="55"/>
        <v>163</v>
      </c>
      <c r="E966" s="7">
        <v>0.0</v>
      </c>
      <c r="F966" s="8"/>
      <c r="G966" s="6">
        <f t="shared" si="3"/>
        <v>2249</v>
      </c>
      <c r="H966" s="6">
        <f t="shared" si="4"/>
        <v>15929</v>
      </c>
      <c r="I966" s="6">
        <f t="shared" si="5"/>
        <v>19661</v>
      </c>
      <c r="J966" s="6">
        <f t="shared" si="6"/>
        <v>33965</v>
      </c>
      <c r="K966" s="9"/>
      <c r="L966" s="9"/>
      <c r="M966" s="9"/>
      <c r="N966" s="9">
        <f t="shared" si="7"/>
        <v>12.76879699</v>
      </c>
      <c r="O966" s="10">
        <f t="shared" si="8"/>
        <v>35.48243664</v>
      </c>
      <c r="P966" s="9">
        <v>15.0</v>
      </c>
      <c r="Q966" s="11" t="str">
        <f t="shared" si="9"/>
        <v>cobertura correcta</v>
      </c>
      <c r="R966" s="12"/>
      <c r="S966" s="8"/>
      <c r="T966" s="12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5" t="s">
        <v>1859</v>
      </c>
      <c r="B967" s="6" t="s">
        <v>1860</v>
      </c>
      <c r="C967" s="6">
        <f t="shared" si="1"/>
        <v>1929</v>
      </c>
      <c r="D967" s="6">
        <f t="shared" si="55"/>
        <v>170</v>
      </c>
      <c r="E967" s="7">
        <v>0.0</v>
      </c>
      <c r="F967" s="8"/>
      <c r="G967" s="6">
        <f t="shared" si="3"/>
        <v>3030</v>
      </c>
      <c r="H967" s="6">
        <f t="shared" si="4"/>
        <v>13890</v>
      </c>
      <c r="I967" s="6">
        <f t="shared" si="5"/>
        <v>23893</v>
      </c>
      <c r="J967" s="6">
        <f t="shared" si="6"/>
        <v>82789</v>
      </c>
      <c r="K967" s="9"/>
      <c r="L967" s="9"/>
      <c r="M967" s="9"/>
      <c r="N967" s="9">
        <f t="shared" si="7"/>
        <v>42.91809228</v>
      </c>
      <c r="O967" s="10">
        <f t="shared" si="8"/>
        <v>19.0990099</v>
      </c>
      <c r="P967" s="9">
        <v>15.0</v>
      </c>
      <c r="Q967" s="11" t="str">
        <f t="shared" si="9"/>
        <v>cobertura correcta</v>
      </c>
      <c r="R967" s="12"/>
      <c r="S967" s="8"/>
      <c r="T967" s="12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5" t="s">
        <v>1861</v>
      </c>
      <c r="B968" s="6"/>
      <c r="C968" s="6">
        <f t="shared" si="1"/>
        <v>5977</v>
      </c>
      <c r="D968" s="6">
        <f t="shared" si="55"/>
        <v>52</v>
      </c>
      <c r="E968" s="7">
        <v>0.0</v>
      </c>
      <c r="F968" s="8"/>
      <c r="G968" s="6">
        <f t="shared" si="3"/>
        <v>2274</v>
      </c>
      <c r="H968" s="6">
        <f t="shared" si="4"/>
        <v>17689</v>
      </c>
      <c r="I968" s="6">
        <f t="shared" si="5"/>
        <v>22171</v>
      </c>
      <c r="J968" s="6">
        <f t="shared" si="6"/>
        <v>50348</v>
      </c>
      <c r="K968" s="9"/>
      <c r="L968" s="9"/>
      <c r="M968" s="9"/>
      <c r="N968" s="9">
        <f t="shared" si="7"/>
        <v>8.423623892</v>
      </c>
      <c r="O968" s="10">
        <f t="shared" si="8"/>
        <v>78.85224274</v>
      </c>
      <c r="P968" s="9">
        <v>10.0</v>
      </c>
      <c r="Q968" s="11" t="str">
        <f t="shared" si="9"/>
        <v>cobertura correcta</v>
      </c>
      <c r="R968" s="12"/>
      <c r="S968" s="8"/>
      <c r="T968" s="12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5" t="s">
        <v>1862</v>
      </c>
      <c r="B969" s="6"/>
      <c r="C969" s="6">
        <f t="shared" si="1"/>
        <v>1421</v>
      </c>
      <c r="D969" s="6">
        <f t="shared" si="55"/>
        <v>8</v>
      </c>
      <c r="E969" s="7">
        <v>0.0</v>
      </c>
      <c r="F969" s="8"/>
      <c r="G969" s="6">
        <f t="shared" si="3"/>
        <v>6728</v>
      </c>
      <c r="H969" s="6">
        <f t="shared" si="4"/>
        <v>16472</v>
      </c>
      <c r="I969" s="6">
        <f t="shared" si="5"/>
        <v>20900</v>
      </c>
      <c r="J969" s="6">
        <f t="shared" si="6"/>
        <v>71852</v>
      </c>
      <c r="K969" s="9"/>
      <c r="L969" s="9"/>
      <c r="M969" s="9"/>
      <c r="N969" s="9">
        <f t="shared" si="7"/>
        <v>50.56439127</v>
      </c>
      <c r="O969" s="10">
        <f t="shared" si="8"/>
        <v>6.336206897</v>
      </c>
      <c r="P969" s="9">
        <v>15.0</v>
      </c>
      <c r="Q969" s="11" t="str">
        <f t="shared" si="9"/>
        <v>¡Compra YA!</v>
      </c>
      <c r="R969" s="12"/>
      <c r="S969" s="8"/>
      <c r="T969" s="12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5.75" customHeight="1">
      <c r="A970" s="5" t="s">
        <v>1863</v>
      </c>
      <c r="B970" s="6" t="s">
        <v>1864</v>
      </c>
      <c r="C970" s="6">
        <f t="shared" si="1"/>
        <v>2479</v>
      </c>
      <c r="D970" s="6">
        <f t="shared" si="55"/>
        <v>107</v>
      </c>
      <c r="E970" s="7">
        <v>0.0</v>
      </c>
      <c r="F970" s="8"/>
      <c r="G970" s="6">
        <f t="shared" si="3"/>
        <v>7259</v>
      </c>
      <c r="H970" s="6">
        <f t="shared" si="4"/>
        <v>17889</v>
      </c>
      <c r="I970" s="6">
        <f t="shared" si="5"/>
        <v>25457</v>
      </c>
      <c r="J970" s="6">
        <f t="shared" si="6"/>
        <v>66966</v>
      </c>
      <c r="K970" s="9"/>
      <c r="L970" s="9"/>
      <c r="M970" s="9"/>
      <c r="N970" s="9">
        <f t="shared" si="7"/>
        <v>27.01331182</v>
      </c>
      <c r="O970" s="10">
        <f t="shared" si="8"/>
        <v>10.24521284</v>
      </c>
      <c r="P970" s="9">
        <v>10.0</v>
      </c>
      <c r="Q970" s="11" t="str">
        <f t="shared" si="9"/>
        <v>cobertura correcta</v>
      </c>
      <c r="R970" s="12"/>
      <c r="S970" s="8"/>
      <c r="T970" s="12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5" t="s">
        <v>1865</v>
      </c>
      <c r="B971" s="6" t="s">
        <v>1866</v>
      </c>
      <c r="C971" s="6">
        <f t="shared" si="1"/>
        <v>6702</v>
      </c>
      <c r="D971" s="6">
        <f t="shared" si="55"/>
        <v>39</v>
      </c>
      <c r="E971" s="7">
        <v>0.0</v>
      </c>
      <c r="F971" s="8"/>
      <c r="G971" s="6">
        <f t="shared" si="3"/>
        <v>7209</v>
      </c>
      <c r="H971" s="6">
        <f t="shared" si="4"/>
        <v>16649</v>
      </c>
      <c r="I971" s="6">
        <f t="shared" si="5"/>
        <v>20582</v>
      </c>
      <c r="J971" s="6">
        <f t="shared" si="6"/>
        <v>92291</v>
      </c>
      <c r="K971" s="9"/>
      <c r="L971" s="9"/>
      <c r="M971" s="9"/>
      <c r="N971" s="9">
        <f t="shared" si="7"/>
        <v>13.77066547</v>
      </c>
      <c r="O971" s="10">
        <f t="shared" si="8"/>
        <v>27.89013733</v>
      </c>
      <c r="P971" s="9">
        <v>15.0</v>
      </c>
      <c r="Q971" s="11" t="str">
        <f t="shared" si="9"/>
        <v>cobertura correcta</v>
      </c>
      <c r="R971" s="12"/>
      <c r="S971" s="8"/>
      <c r="T971" s="12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5" t="s">
        <v>1867</v>
      </c>
      <c r="B972" s="6" t="s">
        <v>1868</v>
      </c>
      <c r="C972" s="6">
        <f t="shared" si="1"/>
        <v>5351</v>
      </c>
      <c r="D972" s="6">
        <f t="shared" si="55"/>
        <v>182</v>
      </c>
      <c r="E972" s="7">
        <v>0.0</v>
      </c>
      <c r="F972" s="8"/>
      <c r="G972" s="6">
        <f t="shared" si="3"/>
        <v>6207</v>
      </c>
      <c r="H972" s="6">
        <f t="shared" si="4"/>
        <v>15971</v>
      </c>
      <c r="I972" s="6">
        <f t="shared" si="5"/>
        <v>26164</v>
      </c>
      <c r="J972" s="6">
        <f t="shared" si="6"/>
        <v>93786</v>
      </c>
      <c r="K972" s="9"/>
      <c r="L972" s="9"/>
      <c r="M972" s="9"/>
      <c r="N972" s="9">
        <f t="shared" si="7"/>
        <v>17.52681742</v>
      </c>
      <c r="O972" s="10">
        <f t="shared" si="8"/>
        <v>25.86273562</v>
      </c>
      <c r="P972" s="9">
        <v>15.0</v>
      </c>
      <c r="Q972" s="11" t="str">
        <f t="shared" si="9"/>
        <v>cobertura correcta</v>
      </c>
      <c r="R972" s="12"/>
      <c r="S972" s="8"/>
      <c r="T972" s="12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5" t="s">
        <v>1869</v>
      </c>
      <c r="B973" s="6" t="s">
        <v>1870</v>
      </c>
      <c r="C973" s="6">
        <f t="shared" si="1"/>
        <v>1724</v>
      </c>
      <c r="D973" s="6">
        <f t="shared" si="55"/>
        <v>50</v>
      </c>
      <c r="E973" s="7">
        <v>0.0</v>
      </c>
      <c r="F973" s="8"/>
      <c r="G973" s="6">
        <f t="shared" si="3"/>
        <v>1677</v>
      </c>
      <c r="H973" s="6">
        <f t="shared" si="4"/>
        <v>13440</v>
      </c>
      <c r="I973" s="6">
        <f t="shared" si="5"/>
        <v>24299</v>
      </c>
      <c r="J973" s="6">
        <f t="shared" si="6"/>
        <v>61524</v>
      </c>
      <c r="K973" s="9"/>
      <c r="L973" s="9"/>
      <c r="M973" s="9"/>
      <c r="N973" s="9">
        <f t="shared" si="7"/>
        <v>35.68677494</v>
      </c>
      <c r="O973" s="10">
        <f t="shared" si="8"/>
        <v>30.84078712</v>
      </c>
      <c r="P973" s="9">
        <v>15.0</v>
      </c>
      <c r="Q973" s="11" t="str">
        <f t="shared" si="9"/>
        <v>cobertura correcta</v>
      </c>
      <c r="R973" s="12"/>
      <c r="S973" s="8"/>
      <c r="T973" s="12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5.75" customHeight="1">
      <c r="A974" s="5" t="s">
        <v>1871</v>
      </c>
      <c r="B974" s="6" t="s">
        <v>1872</v>
      </c>
      <c r="C974" s="6">
        <f t="shared" si="1"/>
        <v>3710</v>
      </c>
      <c r="D974" s="7">
        <v>0.0</v>
      </c>
      <c r="E974" s="7">
        <v>0.0</v>
      </c>
      <c r="F974" s="8"/>
      <c r="G974" s="6">
        <f t="shared" si="3"/>
        <v>8223</v>
      </c>
      <c r="H974" s="6">
        <f t="shared" si="4"/>
        <v>9888</v>
      </c>
      <c r="I974" s="6">
        <f t="shared" si="5"/>
        <v>27025</v>
      </c>
      <c r="J974" s="6">
        <f t="shared" si="6"/>
        <v>83399</v>
      </c>
      <c r="K974" s="9"/>
      <c r="L974" s="9"/>
      <c r="M974" s="9"/>
      <c r="N974" s="9">
        <f t="shared" si="7"/>
        <v>22.47951482</v>
      </c>
      <c r="O974" s="10">
        <f t="shared" si="8"/>
        <v>13.53520613</v>
      </c>
      <c r="P974" s="9">
        <v>15.0</v>
      </c>
      <c r="Q974" s="11" t="str">
        <f t="shared" si="9"/>
        <v>¡Compra YA!</v>
      </c>
      <c r="R974" s="12"/>
      <c r="S974" s="8"/>
      <c r="T974" s="12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5.75" customHeight="1">
      <c r="A975" s="5" t="s">
        <v>1873</v>
      </c>
      <c r="B975" s="6" t="s">
        <v>1874</v>
      </c>
      <c r="C975" s="6">
        <f t="shared" si="1"/>
        <v>7438</v>
      </c>
      <c r="D975" s="6">
        <f t="shared" ref="D975:D976" si="56">RANDBETWEEN(0, 200)</f>
        <v>9</v>
      </c>
      <c r="E975" s="7">
        <v>0.0</v>
      </c>
      <c r="F975" s="8"/>
      <c r="G975" s="6">
        <f t="shared" si="3"/>
        <v>5466</v>
      </c>
      <c r="H975" s="6">
        <f t="shared" si="4"/>
        <v>16079</v>
      </c>
      <c r="I975" s="6">
        <f t="shared" si="5"/>
        <v>21727</v>
      </c>
      <c r="J975" s="6">
        <f t="shared" si="6"/>
        <v>88656</v>
      </c>
      <c r="K975" s="9"/>
      <c r="L975" s="9"/>
      <c r="M975" s="9"/>
      <c r="N975" s="9">
        <f t="shared" si="7"/>
        <v>11.91933315</v>
      </c>
      <c r="O975" s="10">
        <f t="shared" si="8"/>
        <v>40.82327113</v>
      </c>
      <c r="P975" s="9">
        <v>15.0</v>
      </c>
      <c r="Q975" s="11" t="str">
        <f t="shared" si="9"/>
        <v>cobertura correcta</v>
      </c>
      <c r="R975" s="12"/>
      <c r="S975" s="8"/>
      <c r="T975" s="12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5" t="s">
        <v>1875</v>
      </c>
      <c r="B976" s="6" t="s">
        <v>1876</v>
      </c>
      <c r="C976" s="6">
        <f t="shared" si="1"/>
        <v>2735</v>
      </c>
      <c r="D976" s="6">
        <f t="shared" si="56"/>
        <v>0</v>
      </c>
      <c r="E976" s="7">
        <v>0.0</v>
      </c>
      <c r="F976" s="8"/>
      <c r="G976" s="6">
        <f t="shared" si="3"/>
        <v>7568</v>
      </c>
      <c r="H976" s="6">
        <f t="shared" si="4"/>
        <v>18353</v>
      </c>
      <c r="I976" s="6">
        <f t="shared" si="5"/>
        <v>23973</v>
      </c>
      <c r="J976" s="6">
        <f t="shared" si="6"/>
        <v>54807</v>
      </c>
      <c r="K976" s="9"/>
      <c r="L976" s="9"/>
      <c r="M976" s="9"/>
      <c r="N976" s="9">
        <f t="shared" si="7"/>
        <v>20.03912249</v>
      </c>
      <c r="O976" s="10">
        <f t="shared" si="8"/>
        <v>10.8417019</v>
      </c>
      <c r="P976" s="9">
        <v>15.0</v>
      </c>
      <c r="Q976" s="11" t="str">
        <f t="shared" si="9"/>
        <v>¡Compra YA!</v>
      </c>
      <c r="R976" s="12"/>
      <c r="S976" s="8"/>
      <c r="T976" s="12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5.75" customHeight="1">
      <c r="A977" s="5" t="s">
        <v>1877</v>
      </c>
      <c r="B977" s="6" t="s">
        <v>1878</v>
      </c>
      <c r="C977" s="6">
        <f t="shared" si="1"/>
        <v>8899</v>
      </c>
      <c r="D977" s="7">
        <v>0.0</v>
      </c>
      <c r="E977" s="7">
        <v>0.0</v>
      </c>
      <c r="F977" s="8"/>
      <c r="G977" s="6">
        <f t="shared" si="3"/>
        <v>4419</v>
      </c>
      <c r="H977" s="6">
        <f t="shared" si="4"/>
        <v>15541</v>
      </c>
      <c r="I977" s="6">
        <f t="shared" si="5"/>
        <v>22034</v>
      </c>
      <c r="J977" s="6">
        <f t="shared" si="6"/>
        <v>86218</v>
      </c>
      <c r="K977" s="9"/>
      <c r="L977" s="9"/>
      <c r="M977" s="9"/>
      <c r="N977" s="9">
        <f t="shared" si="7"/>
        <v>9.688504326</v>
      </c>
      <c r="O977" s="10">
        <f t="shared" si="8"/>
        <v>60.41412084</v>
      </c>
      <c r="P977" s="9">
        <v>15.0</v>
      </c>
      <c r="Q977" s="11" t="str">
        <f t="shared" si="9"/>
        <v>cobertura correcta</v>
      </c>
      <c r="R977" s="12"/>
      <c r="S977" s="8"/>
      <c r="T977" s="12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5.75" customHeight="1">
      <c r="A978" s="5" t="s">
        <v>1879</v>
      </c>
      <c r="B978" s="6" t="s">
        <v>1880</v>
      </c>
      <c r="C978" s="6">
        <f t="shared" si="1"/>
        <v>6242</v>
      </c>
      <c r="D978" s="7">
        <v>0.0</v>
      </c>
      <c r="E978" s="7">
        <v>0.0</v>
      </c>
      <c r="F978" s="8"/>
      <c r="G978" s="6">
        <f t="shared" si="3"/>
        <v>2575</v>
      </c>
      <c r="H978" s="6">
        <f t="shared" si="4"/>
        <v>13812</v>
      </c>
      <c r="I978" s="6">
        <f t="shared" si="5"/>
        <v>19293</v>
      </c>
      <c r="J978" s="6">
        <f t="shared" si="6"/>
        <v>40083</v>
      </c>
      <c r="K978" s="9"/>
      <c r="L978" s="9"/>
      <c r="M978" s="9"/>
      <c r="N978" s="9">
        <f t="shared" si="7"/>
        <v>6.421499519</v>
      </c>
      <c r="O978" s="10">
        <f t="shared" si="8"/>
        <v>72.7223301</v>
      </c>
      <c r="P978" s="9">
        <v>15.0</v>
      </c>
      <c r="Q978" s="11" t="str">
        <f t="shared" si="9"/>
        <v>cobertura correcta</v>
      </c>
      <c r="R978" s="12"/>
      <c r="S978" s="8"/>
      <c r="T978" s="12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5.75" customHeight="1">
      <c r="A979" s="5" t="s">
        <v>1881</v>
      </c>
      <c r="B979" s="6" t="s">
        <v>1882</v>
      </c>
      <c r="C979" s="6">
        <f t="shared" si="1"/>
        <v>4191</v>
      </c>
      <c r="D979" s="6">
        <f t="shared" ref="D979:D980" si="57">RANDBETWEEN(0, 200)</f>
        <v>134</v>
      </c>
      <c r="E979" s="7">
        <v>0.0</v>
      </c>
      <c r="F979" s="8"/>
      <c r="G979" s="6">
        <f t="shared" si="3"/>
        <v>7966</v>
      </c>
      <c r="H979" s="6">
        <f t="shared" si="4"/>
        <v>18724</v>
      </c>
      <c r="I979" s="6">
        <f t="shared" si="5"/>
        <v>22061</v>
      </c>
      <c r="J979" s="6">
        <f t="shared" si="6"/>
        <v>57842</v>
      </c>
      <c r="K979" s="9"/>
      <c r="L979" s="9"/>
      <c r="M979" s="9"/>
      <c r="N979" s="9">
        <f t="shared" si="7"/>
        <v>13.80147936</v>
      </c>
      <c r="O979" s="10">
        <f t="shared" si="8"/>
        <v>15.78332915</v>
      </c>
      <c r="P979" s="9">
        <v>15.0</v>
      </c>
      <c r="Q979" s="11" t="str">
        <f t="shared" si="9"/>
        <v>cobertura correcta</v>
      </c>
      <c r="R979" s="12"/>
      <c r="S979" s="8"/>
      <c r="T979" s="12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5.75" customHeight="1">
      <c r="A980" s="5" t="s">
        <v>1883</v>
      </c>
      <c r="B980" s="6" t="s">
        <v>1884</v>
      </c>
      <c r="C980" s="6">
        <f t="shared" si="1"/>
        <v>1040</v>
      </c>
      <c r="D980" s="6">
        <f t="shared" si="57"/>
        <v>109</v>
      </c>
      <c r="E980" s="7">
        <v>0.0</v>
      </c>
      <c r="F980" s="8"/>
      <c r="G980" s="6">
        <f t="shared" si="3"/>
        <v>1434</v>
      </c>
      <c r="H980" s="6">
        <f t="shared" si="4"/>
        <v>11573</v>
      </c>
      <c r="I980" s="6">
        <f t="shared" si="5"/>
        <v>28297</v>
      </c>
      <c r="J980" s="6">
        <f t="shared" si="6"/>
        <v>60099</v>
      </c>
      <c r="K980" s="9"/>
      <c r="L980" s="9"/>
      <c r="M980" s="9"/>
      <c r="N980" s="9">
        <f t="shared" si="7"/>
        <v>57.7875</v>
      </c>
      <c r="O980" s="10">
        <f t="shared" si="8"/>
        <v>21.75732218</v>
      </c>
      <c r="P980" s="9">
        <v>15.0</v>
      </c>
      <c r="Q980" s="11" t="str">
        <f t="shared" si="9"/>
        <v>cobertura correcta</v>
      </c>
      <c r="R980" s="12"/>
      <c r="S980" s="8"/>
      <c r="T980" s="12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5.75" customHeight="1">
      <c r="A981" s="5" t="s">
        <v>1885</v>
      </c>
      <c r="B981" s="6" t="s">
        <v>1886</v>
      </c>
      <c r="C981" s="6">
        <f t="shared" si="1"/>
        <v>3937</v>
      </c>
      <c r="D981" s="7">
        <v>0.0</v>
      </c>
      <c r="E981" s="7">
        <v>0.0</v>
      </c>
      <c r="F981" s="8"/>
      <c r="G981" s="6">
        <f t="shared" si="3"/>
        <v>3439</v>
      </c>
      <c r="H981" s="6">
        <f t="shared" si="4"/>
        <v>13163</v>
      </c>
      <c r="I981" s="6">
        <f t="shared" si="5"/>
        <v>19456</v>
      </c>
      <c r="J981" s="6">
        <f t="shared" si="6"/>
        <v>34986</v>
      </c>
      <c r="K981" s="9"/>
      <c r="L981" s="9"/>
      <c r="M981" s="9"/>
      <c r="N981" s="9">
        <f t="shared" si="7"/>
        <v>8.886461773</v>
      </c>
      <c r="O981" s="10">
        <f t="shared" si="8"/>
        <v>34.34428613</v>
      </c>
      <c r="P981" s="9">
        <v>15.0</v>
      </c>
      <c r="Q981" s="11" t="str">
        <f t="shared" si="9"/>
        <v>cobertura correcta</v>
      </c>
      <c r="R981" s="12"/>
      <c r="S981" s="8"/>
      <c r="T981" s="12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5.75" customHeight="1">
      <c r="A982" s="5" t="s">
        <v>1887</v>
      </c>
      <c r="B982" s="6" t="s">
        <v>1888</v>
      </c>
      <c r="C982" s="6">
        <f t="shared" si="1"/>
        <v>8406</v>
      </c>
      <c r="D982" s="6">
        <f t="shared" ref="D982:D983" si="58">RANDBETWEEN(0, 200)</f>
        <v>32</v>
      </c>
      <c r="E982" s="7">
        <v>0.0</v>
      </c>
      <c r="F982" s="8"/>
      <c r="G982" s="6">
        <f t="shared" si="3"/>
        <v>5713</v>
      </c>
      <c r="H982" s="6">
        <f t="shared" si="4"/>
        <v>10343</v>
      </c>
      <c r="I982" s="6">
        <f t="shared" si="5"/>
        <v>19589</v>
      </c>
      <c r="J982" s="6">
        <f t="shared" si="6"/>
        <v>40820</v>
      </c>
      <c r="K982" s="9"/>
      <c r="L982" s="9"/>
      <c r="M982" s="9"/>
      <c r="N982" s="9">
        <f t="shared" si="7"/>
        <v>4.856055199</v>
      </c>
      <c r="O982" s="10">
        <f t="shared" si="8"/>
        <v>44.14143182</v>
      </c>
      <c r="P982" s="9">
        <v>15.0</v>
      </c>
      <c r="Q982" s="11" t="str">
        <f t="shared" si="9"/>
        <v>cobertura correcta</v>
      </c>
      <c r="R982" s="12"/>
      <c r="S982" s="8"/>
      <c r="T982" s="12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5.75" customHeight="1">
      <c r="A983" s="5" t="s">
        <v>1889</v>
      </c>
      <c r="B983" s="6" t="s">
        <v>1890</v>
      </c>
      <c r="C983" s="6">
        <f t="shared" si="1"/>
        <v>6302</v>
      </c>
      <c r="D983" s="6">
        <f t="shared" si="58"/>
        <v>181</v>
      </c>
      <c r="E983" s="7">
        <v>0.0</v>
      </c>
      <c r="F983" s="8"/>
      <c r="G983" s="6">
        <f t="shared" si="3"/>
        <v>6714</v>
      </c>
      <c r="H983" s="6">
        <f t="shared" si="4"/>
        <v>16542</v>
      </c>
      <c r="I983" s="6">
        <f t="shared" si="5"/>
        <v>20260</v>
      </c>
      <c r="J983" s="6">
        <f t="shared" si="6"/>
        <v>35334</v>
      </c>
      <c r="K983" s="9"/>
      <c r="L983" s="9"/>
      <c r="M983" s="9"/>
      <c r="N983" s="9">
        <f t="shared" si="7"/>
        <v>5.606791495</v>
      </c>
      <c r="O983" s="10">
        <f t="shared" si="8"/>
        <v>28.1590706</v>
      </c>
      <c r="P983" s="9">
        <v>15.0</v>
      </c>
      <c r="Q983" s="11" t="str">
        <f t="shared" si="9"/>
        <v>cobertura correcta</v>
      </c>
      <c r="R983" s="12"/>
      <c r="S983" s="8"/>
      <c r="T983" s="12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5.75" customHeight="1">
      <c r="A984" s="5" t="s">
        <v>1891</v>
      </c>
      <c r="B984" s="6" t="s">
        <v>1892</v>
      </c>
      <c r="C984" s="6">
        <f t="shared" si="1"/>
        <v>5330</v>
      </c>
      <c r="D984" s="7">
        <v>0.0</v>
      </c>
      <c r="E984" s="7">
        <v>0.0</v>
      </c>
      <c r="F984" s="8"/>
      <c r="G984" s="6">
        <f t="shared" si="3"/>
        <v>3739</v>
      </c>
      <c r="H984" s="6">
        <f t="shared" si="4"/>
        <v>17640</v>
      </c>
      <c r="I984" s="6">
        <f t="shared" si="5"/>
        <v>23148</v>
      </c>
      <c r="J984" s="6">
        <f t="shared" si="6"/>
        <v>78747</v>
      </c>
      <c r="K984" s="9"/>
      <c r="L984" s="9"/>
      <c r="M984" s="9"/>
      <c r="N984" s="9">
        <f t="shared" si="7"/>
        <v>14.77429644</v>
      </c>
      <c r="O984" s="10">
        <f t="shared" si="8"/>
        <v>42.76544531</v>
      </c>
      <c r="P984" s="9">
        <v>15.0</v>
      </c>
      <c r="Q984" s="11" t="str">
        <f t="shared" si="9"/>
        <v>cobertura correcta</v>
      </c>
      <c r="R984" s="12"/>
      <c r="S984" s="8"/>
      <c r="T984" s="12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5.75" customHeight="1">
      <c r="A985" s="5" t="s">
        <v>1893</v>
      </c>
      <c r="B985" s="6" t="s">
        <v>1894</v>
      </c>
      <c r="C985" s="6">
        <f t="shared" si="1"/>
        <v>2705</v>
      </c>
      <c r="D985" s="6">
        <f t="shared" ref="D985:D986" si="59">RANDBETWEEN(0, 200)</f>
        <v>61</v>
      </c>
      <c r="E985" s="7">
        <v>0.0</v>
      </c>
      <c r="F985" s="8"/>
      <c r="G985" s="6">
        <f t="shared" si="3"/>
        <v>1510</v>
      </c>
      <c r="H985" s="6">
        <f t="shared" si="4"/>
        <v>9458</v>
      </c>
      <c r="I985" s="6">
        <f t="shared" si="5"/>
        <v>21176</v>
      </c>
      <c r="J985" s="6">
        <f t="shared" si="6"/>
        <v>94456</v>
      </c>
      <c r="K985" s="9"/>
      <c r="L985" s="9"/>
      <c r="M985" s="9"/>
      <c r="N985" s="9">
        <f t="shared" si="7"/>
        <v>34.91903882</v>
      </c>
      <c r="O985" s="10">
        <f t="shared" si="8"/>
        <v>53.74172185</v>
      </c>
      <c r="P985" s="9">
        <v>15.0</v>
      </c>
      <c r="Q985" s="11" t="str">
        <f t="shared" si="9"/>
        <v>cobertura correcta</v>
      </c>
      <c r="R985" s="12"/>
      <c r="S985" s="8"/>
      <c r="T985" s="12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5.75" customHeight="1">
      <c r="A986" s="5" t="s">
        <v>1895</v>
      </c>
      <c r="B986" s="6" t="s">
        <v>1896</v>
      </c>
      <c r="C986" s="6">
        <f t="shared" si="1"/>
        <v>4596</v>
      </c>
      <c r="D986" s="6">
        <f t="shared" si="59"/>
        <v>22</v>
      </c>
      <c r="E986" s="7">
        <v>0.0</v>
      </c>
      <c r="F986" s="8"/>
      <c r="G986" s="6">
        <f t="shared" si="3"/>
        <v>5082</v>
      </c>
      <c r="H986" s="6">
        <f t="shared" si="4"/>
        <v>15128</v>
      </c>
      <c r="I986" s="6">
        <f t="shared" si="5"/>
        <v>26564</v>
      </c>
      <c r="J986" s="6">
        <f t="shared" si="6"/>
        <v>85612</v>
      </c>
      <c r="K986" s="9"/>
      <c r="L986" s="9"/>
      <c r="M986" s="9"/>
      <c r="N986" s="9">
        <f t="shared" si="7"/>
        <v>18.62750218</v>
      </c>
      <c r="O986" s="10">
        <f t="shared" si="8"/>
        <v>27.13105077</v>
      </c>
      <c r="P986" s="9">
        <v>15.0</v>
      </c>
      <c r="Q986" s="11" t="str">
        <f t="shared" si="9"/>
        <v>cobertura correcta</v>
      </c>
      <c r="R986" s="12"/>
      <c r="S986" s="8"/>
      <c r="T986" s="12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5.75" customHeight="1">
      <c r="A987" s="5" t="s">
        <v>1897</v>
      </c>
      <c r="B987" s="6" t="s">
        <v>1898</v>
      </c>
      <c r="C987" s="6">
        <f t="shared" si="1"/>
        <v>5843</v>
      </c>
      <c r="D987" s="7">
        <v>0.0</v>
      </c>
      <c r="E987" s="7">
        <v>0.0</v>
      </c>
      <c r="F987" s="8"/>
      <c r="G987" s="6">
        <f t="shared" si="3"/>
        <v>1553</v>
      </c>
      <c r="H987" s="6">
        <f t="shared" si="4"/>
        <v>17006</v>
      </c>
      <c r="I987" s="6">
        <f t="shared" si="5"/>
        <v>27783</v>
      </c>
      <c r="J987" s="6">
        <f t="shared" si="6"/>
        <v>97681</v>
      </c>
      <c r="K987" s="9"/>
      <c r="L987" s="9"/>
      <c r="M987" s="9"/>
      <c r="N987" s="9">
        <f t="shared" si="7"/>
        <v>16.71761082</v>
      </c>
      <c r="O987" s="10">
        <f t="shared" si="8"/>
        <v>112.8718609</v>
      </c>
      <c r="P987" s="9">
        <v>10.0</v>
      </c>
      <c r="Q987" s="11" t="str">
        <f t="shared" si="9"/>
        <v>cobertura correcta</v>
      </c>
      <c r="R987" s="12"/>
      <c r="S987" s="8"/>
      <c r="T987" s="12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5.75" customHeight="1">
      <c r="A988" s="5" t="s">
        <v>1899</v>
      </c>
      <c r="B988" s="6" t="s">
        <v>1900</v>
      </c>
      <c r="C988" s="6">
        <f t="shared" si="1"/>
        <v>6558</v>
      </c>
      <c r="D988" s="6">
        <f t="shared" ref="D988:D989" si="60">RANDBETWEEN(0, 200)</f>
        <v>169</v>
      </c>
      <c r="E988" s="7">
        <v>0.0</v>
      </c>
      <c r="F988" s="8"/>
      <c r="G988" s="6">
        <f t="shared" si="3"/>
        <v>7886</v>
      </c>
      <c r="H988" s="6">
        <f t="shared" si="4"/>
        <v>17205</v>
      </c>
      <c r="I988" s="6">
        <f t="shared" si="5"/>
        <v>22935</v>
      </c>
      <c r="J988" s="6">
        <f t="shared" si="6"/>
        <v>46541</v>
      </c>
      <c r="K988" s="9"/>
      <c r="L988" s="9"/>
      <c r="M988" s="9"/>
      <c r="N988" s="9">
        <f t="shared" si="7"/>
        <v>7.096828301</v>
      </c>
      <c r="O988" s="10">
        <f t="shared" si="8"/>
        <v>24.94800913</v>
      </c>
      <c r="P988" s="9">
        <v>45.0</v>
      </c>
      <c r="Q988" s="11" t="str">
        <f t="shared" si="9"/>
        <v>¡Compra YA!</v>
      </c>
      <c r="R988" s="12"/>
      <c r="S988" s="8"/>
      <c r="T988" s="12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5.75" customHeight="1">
      <c r="A989" s="5" t="s">
        <v>1901</v>
      </c>
      <c r="B989" s="6" t="s">
        <v>1902</v>
      </c>
      <c r="C989" s="6">
        <f t="shared" si="1"/>
        <v>1526</v>
      </c>
      <c r="D989" s="6">
        <f t="shared" si="60"/>
        <v>43</v>
      </c>
      <c r="E989" s="7">
        <v>0.0</v>
      </c>
      <c r="F989" s="8"/>
      <c r="G989" s="6">
        <f t="shared" si="3"/>
        <v>8598</v>
      </c>
      <c r="H989" s="6">
        <f t="shared" si="4"/>
        <v>9393</v>
      </c>
      <c r="I989" s="6">
        <f t="shared" si="5"/>
        <v>28283</v>
      </c>
      <c r="J989" s="6">
        <f t="shared" si="6"/>
        <v>52175</v>
      </c>
      <c r="K989" s="9"/>
      <c r="L989" s="9"/>
      <c r="M989" s="9"/>
      <c r="N989" s="9">
        <f t="shared" si="7"/>
        <v>34.19069463</v>
      </c>
      <c r="O989" s="10">
        <f t="shared" si="8"/>
        <v>5.324494068</v>
      </c>
      <c r="P989" s="9">
        <v>45.0</v>
      </c>
      <c r="Q989" s="11" t="str">
        <f t="shared" si="9"/>
        <v>¡Compra YA!</v>
      </c>
      <c r="R989" s="12"/>
      <c r="S989" s="8"/>
      <c r="T989" s="12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5.75" customHeight="1">
      <c r="A990" s="5" t="s">
        <v>1903</v>
      </c>
      <c r="B990" s="6"/>
      <c r="C990" s="6">
        <f t="shared" si="1"/>
        <v>1901</v>
      </c>
      <c r="D990" s="7">
        <v>0.0</v>
      </c>
      <c r="E990" s="7">
        <v>0.0</v>
      </c>
      <c r="F990" s="8"/>
      <c r="G990" s="6">
        <f t="shared" si="3"/>
        <v>4545</v>
      </c>
      <c r="H990" s="6">
        <f t="shared" si="4"/>
        <v>15259</v>
      </c>
      <c r="I990" s="6">
        <f t="shared" si="5"/>
        <v>25990</v>
      </c>
      <c r="J990" s="6">
        <f t="shared" si="6"/>
        <v>93771</v>
      </c>
      <c r="K990" s="9"/>
      <c r="L990" s="9"/>
      <c r="M990" s="9"/>
      <c r="N990" s="9">
        <f t="shared" si="7"/>
        <v>49.32719621</v>
      </c>
      <c r="O990" s="10">
        <f t="shared" si="8"/>
        <v>12.54785479</v>
      </c>
      <c r="P990" s="9">
        <v>45.0</v>
      </c>
      <c r="Q990" s="11" t="str">
        <f t="shared" si="9"/>
        <v>¡Compra YA!</v>
      </c>
      <c r="R990" s="12"/>
      <c r="S990" s="8"/>
      <c r="T990" s="12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5.75" customHeight="1">
      <c r="A991" s="5" t="s">
        <v>1904</v>
      </c>
      <c r="B991" s="6"/>
      <c r="C991" s="6">
        <f t="shared" si="1"/>
        <v>2464</v>
      </c>
      <c r="D991" s="7">
        <v>0.0</v>
      </c>
      <c r="E991" s="7">
        <v>0.0</v>
      </c>
      <c r="F991" s="8"/>
      <c r="G991" s="6">
        <f t="shared" si="3"/>
        <v>4185</v>
      </c>
      <c r="H991" s="6">
        <f t="shared" si="4"/>
        <v>10802</v>
      </c>
      <c r="I991" s="6">
        <f t="shared" si="5"/>
        <v>23105</v>
      </c>
      <c r="J991" s="6">
        <f t="shared" si="6"/>
        <v>32784</v>
      </c>
      <c r="K991" s="9"/>
      <c r="L991" s="9"/>
      <c r="M991" s="9"/>
      <c r="N991" s="9">
        <f t="shared" si="7"/>
        <v>13.30519481</v>
      </c>
      <c r="O991" s="10">
        <f t="shared" si="8"/>
        <v>17.66308244</v>
      </c>
      <c r="P991" s="9">
        <v>45.0</v>
      </c>
      <c r="Q991" s="11" t="str">
        <f t="shared" si="9"/>
        <v>¡Compra YA!</v>
      </c>
      <c r="R991" s="12"/>
      <c r="S991" s="8"/>
      <c r="T991" s="12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5.75" customHeight="1">
      <c r="A992" s="5" t="s">
        <v>1905</v>
      </c>
      <c r="B992" s="6"/>
      <c r="C992" s="6">
        <f t="shared" si="1"/>
        <v>1193</v>
      </c>
      <c r="D992" s="6">
        <f t="shared" ref="D992:D995" si="61">RANDBETWEEN(0, 200)</f>
        <v>26</v>
      </c>
      <c r="E992" s="7">
        <v>0.0</v>
      </c>
      <c r="F992" s="8"/>
      <c r="G992" s="6">
        <f t="shared" si="3"/>
        <v>2924</v>
      </c>
      <c r="H992" s="6">
        <f t="shared" si="4"/>
        <v>17382</v>
      </c>
      <c r="I992" s="6">
        <f t="shared" si="5"/>
        <v>20583</v>
      </c>
      <c r="J992" s="6">
        <f t="shared" si="6"/>
        <v>41110</v>
      </c>
      <c r="K992" s="9"/>
      <c r="L992" s="9"/>
      <c r="M992" s="9"/>
      <c r="N992" s="9">
        <f t="shared" si="7"/>
        <v>34.45934619</v>
      </c>
      <c r="O992" s="10">
        <f t="shared" si="8"/>
        <v>12.24008208</v>
      </c>
      <c r="P992" s="9">
        <v>45.0</v>
      </c>
      <c r="Q992" s="11" t="str">
        <f t="shared" si="9"/>
        <v>¡Compra YA!</v>
      </c>
      <c r="R992" s="12"/>
      <c r="S992" s="8"/>
      <c r="T992" s="12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5.75" customHeight="1">
      <c r="A993" s="5" t="s">
        <v>1906</v>
      </c>
      <c r="B993" s="6"/>
      <c r="C993" s="6">
        <f t="shared" si="1"/>
        <v>2020</v>
      </c>
      <c r="D993" s="6">
        <f t="shared" si="61"/>
        <v>179</v>
      </c>
      <c r="E993" s="7">
        <v>0.0</v>
      </c>
      <c r="F993" s="8"/>
      <c r="G993" s="6">
        <f t="shared" si="3"/>
        <v>7512</v>
      </c>
      <c r="H993" s="6">
        <f t="shared" si="4"/>
        <v>10066</v>
      </c>
      <c r="I993" s="6">
        <f t="shared" si="5"/>
        <v>19896</v>
      </c>
      <c r="J993" s="6">
        <f t="shared" si="6"/>
        <v>61452</v>
      </c>
      <c r="K993" s="9"/>
      <c r="L993" s="9"/>
      <c r="M993" s="9"/>
      <c r="N993" s="9">
        <f t="shared" si="7"/>
        <v>30.42178218</v>
      </c>
      <c r="O993" s="10">
        <f t="shared" si="8"/>
        <v>8.067092652</v>
      </c>
      <c r="P993" s="9">
        <v>45.0</v>
      </c>
      <c r="Q993" s="11" t="str">
        <f t="shared" si="9"/>
        <v>¡Compra YA!</v>
      </c>
      <c r="R993" s="12"/>
      <c r="S993" s="8"/>
      <c r="T993" s="12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5.75" customHeight="1">
      <c r="A994" s="5" t="s">
        <v>1907</v>
      </c>
      <c r="B994" s="6"/>
      <c r="C994" s="6">
        <f t="shared" si="1"/>
        <v>2086</v>
      </c>
      <c r="D994" s="6">
        <f t="shared" si="61"/>
        <v>138</v>
      </c>
      <c r="E994" s="7">
        <v>0.0</v>
      </c>
      <c r="F994" s="8"/>
      <c r="G994" s="6">
        <f t="shared" si="3"/>
        <v>3058</v>
      </c>
      <c r="H994" s="6">
        <f t="shared" si="4"/>
        <v>11998</v>
      </c>
      <c r="I994" s="6">
        <f t="shared" si="5"/>
        <v>23429</v>
      </c>
      <c r="J994" s="6">
        <f t="shared" si="6"/>
        <v>82450</v>
      </c>
      <c r="K994" s="9"/>
      <c r="L994" s="9"/>
      <c r="M994" s="9"/>
      <c r="N994" s="9">
        <f t="shared" si="7"/>
        <v>39.52540748</v>
      </c>
      <c r="O994" s="10">
        <f t="shared" si="8"/>
        <v>20.46435579</v>
      </c>
      <c r="P994" s="9">
        <v>45.0</v>
      </c>
      <c r="Q994" s="11" t="str">
        <f t="shared" si="9"/>
        <v>¡Compra YA!</v>
      </c>
      <c r="R994" s="12"/>
      <c r="S994" s="8"/>
      <c r="T994" s="12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5.75" customHeight="1">
      <c r="A995" s="5" t="s">
        <v>1908</v>
      </c>
      <c r="B995" s="6"/>
      <c r="C995" s="6">
        <f t="shared" si="1"/>
        <v>7696</v>
      </c>
      <c r="D995" s="6">
        <f t="shared" si="61"/>
        <v>49</v>
      </c>
      <c r="E995" s="7">
        <v>0.0</v>
      </c>
      <c r="F995" s="8"/>
      <c r="G995" s="6">
        <f t="shared" si="3"/>
        <v>8271</v>
      </c>
      <c r="H995" s="6">
        <f t="shared" si="4"/>
        <v>14986</v>
      </c>
      <c r="I995" s="6">
        <f t="shared" si="5"/>
        <v>20334</v>
      </c>
      <c r="J995" s="6">
        <f t="shared" si="6"/>
        <v>57861</v>
      </c>
      <c r="K995" s="9"/>
      <c r="L995" s="9"/>
      <c r="M995" s="9"/>
      <c r="N995" s="9">
        <f t="shared" si="7"/>
        <v>7.518321206</v>
      </c>
      <c r="O995" s="10">
        <f t="shared" si="8"/>
        <v>27.91439971</v>
      </c>
      <c r="P995" s="9">
        <v>15.0</v>
      </c>
      <c r="Q995" s="11" t="str">
        <f t="shared" si="9"/>
        <v>cobertura correcta</v>
      </c>
      <c r="R995" s="12"/>
      <c r="S995" s="8"/>
      <c r="T995" s="12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5.75" customHeight="1">
      <c r="A996" s="5" t="s">
        <v>1909</v>
      </c>
      <c r="B996" s="6"/>
      <c r="C996" s="6">
        <f t="shared" si="1"/>
        <v>1410</v>
      </c>
      <c r="D996" s="7">
        <v>0.0</v>
      </c>
      <c r="E996" s="7">
        <v>0.0</v>
      </c>
      <c r="F996" s="8"/>
      <c r="G996" s="6">
        <f t="shared" si="3"/>
        <v>5129</v>
      </c>
      <c r="H996" s="6">
        <f t="shared" si="4"/>
        <v>15466</v>
      </c>
      <c r="I996" s="6">
        <f t="shared" si="5"/>
        <v>27707</v>
      </c>
      <c r="J996" s="6">
        <f t="shared" si="6"/>
        <v>35469</v>
      </c>
      <c r="K996" s="9"/>
      <c r="L996" s="9"/>
      <c r="M996" s="9"/>
      <c r="N996" s="9">
        <f t="shared" si="7"/>
        <v>25.15531915</v>
      </c>
      <c r="O996" s="10">
        <f t="shared" si="8"/>
        <v>8.247221681</v>
      </c>
      <c r="P996" s="9">
        <v>30.0</v>
      </c>
      <c r="Q996" s="11" t="str">
        <f t="shared" si="9"/>
        <v>¡Compra YA!</v>
      </c>
      <c r="R996" s="12"/>
      <c r="S996" s="8"/>
      <c r="T996" s="12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5.75" customHeight="1">
      <c r="A997" s="5" t="s">
        <v>1910</v>
      </c>
      <c r="B997" s="6"/>
      <c r="C997" s="6">
        <f t="shared" si="1"/>
        <v>3413</v>
      </c>
      <c r="D997" s="6">
        <f t="shared" ref="D997:D1170" si="62">RANDBETWEEN(0, 200)</f>
        <v>59</v>
      </c>
      <c r="E997" s="7">
        <v>0.0</v>
      </c>
      <c r="F997" s="8"/>
      <c r="G997" s="6">
        <f t="shared" si="3"/>
        <v>4751</v>
      </c>
      <c r="H997" s="6">
        <f t="shared" si="4"/>
        <v>11717</v>
      </c>
      <c r="I997" s="6">
        <f t="shared" si="5"/>
        <v>24841</v>
      </c>
      <c r="J997" s="6">
        <f t="shared" si="6"/>
        <v>61381</v>
      </c>
      <c r="K997" s="9"/>
      <c r="L997" s="9"/>
      <c r="M997" s="9"/>
      <c r="N997" s="9">
        <f t="shared" si="7"/>
        <v>17.98447114</v>
      </c>
      <c r="O997" s="10">
        <f t="shared" si="8"/>
        <v>21.55125237</v>
      </c>
      <c r="P997" s="9">
        <v>30.0</v>
      </c>
      <c r="Q997" s="11" t="str">
        <f t="shared" si="9"/>
        <v>¡Compra YA!</v>
      </c>
      <c r="R997" s="12"/>
      <c r="S997" s="8"/>
      <c r="T997" s="12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5.75" customHeight="1">
      <c r="A998" s="5" t="s">
        <v>1911</v>
      </c>
      <c r="B998" s="6"/>
      <c r="C998" s="6">
        <f t="shared" si="1"/>
        <v>8778</v>
      </c>
      <c r="D998" s="6">
        <f t="shared" si="62"/>
        <v>142</v>
      </c>
      <c r="E998" s="7">
        <v>0.0</v>
      </c>
      <c r="F998" s="8"/>
      <c r="G998" s="6">
        <f t="shared" si="3"/>
        <v>7617</v>
      </c>
      <c r="H998" s="6">
        <f t="shared" si="4"/>
        <v>10320</v>
      </c>
      <c r="I998" s="6">
        <f t="shared" si="5"/>
        <v>21358</v>
      </c>
      <c r="J998" s="6">
        <f t="shared" si="6"/>
        <v>57612</v>
      </c>
      <c r="K998" s="9"/>
      <c r="L998" s="9"/>
      <c r="M998" s="9"/>
      <c r="N998" s="9">
        <f t="shared" si="7"/>
        <v>6.563226247</v>
      </c>
      <c r="O998" s="10">
        <f t="shared" si="8"/>
        <v>34.5726664</v>
      </c>
      <c r="P998" s="9">
        <v>30.0</v>
      </c>
      <c r="Q998" s="11" t="str">
        <f t="shared" si="9"/>
        <v>cobertura correcta</v>
      </c>
      <c r="R998" s="12"/>
      <c r="S998" s="8"/>
      <c r="T998" s="12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5.75" customHeight="1">
      <c r="A999" s="5" t="s">
        <v>1912</v>
      </c>
      <c r="B999" s="6" t="s">
        <v>1913</v>
      </c>
      <c r="C999" s="6">
        <f t="shared" si="1"/>
        <v>2423</v>
      </c>
      <c r="D999" s="6">
        <f t="shared" si="62"/>
        <v>14</v>
      </c>
      <c r="E999" s="7">
        <v>0.0</v>
      </c>
      <c r="F999" s="8"/>
      <c r="G999" s="6">
        <f t="shared" si="3"/>
        <v>3230</v>
      </c>
      <c r="H999" s="6">
        <f t="shared" si="4"/>
        <v>11761</v>
      </c>
      <c r="I999" s="6">
        <f t="shared" si="5"/>
        <v>27053</v>
      </c>
      <c r="J999" s="6">
        <f t="shared" si="6"/>
        <v>86254</v>
      </c>
      <c r="K999" s="9"/>
      <c r="L999" s="9"/>
      <c r="M999" s="9"/>
      <c r="N999" s="9">
        <f t="shared" si="7"/>
        <v>35.59801898</v>
      </c>
      <c r="O999" s="10">
        <f t="shared" si="8"/>
        <v>22.50464396</v>
      </c>
      <c r="P999" s="9">
        <v>30.0</v>
      </c>
      <c r="Q999" s="11" t="str">
        <f t="shared" si="9"/>
        <v>¡Compra YA!</v>
      </c>
      <c r="R999" s="12"/>
      <c r="S999" s="8"/>
      <c r="T999" s="12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5.75" customHeight="1">
      <c r="A1000" s="5" t="s">
        <v>1914</v>
      </c>
      <c r="B1000" s="6"/>
      <c r="C1000" s="6">
        <f t="shared" si="1"/>
        <v>6693</v>
      </c>
      <c r="D1000" s="6">
        <f t="shared" si="62"/>
        <v>105</v>
      </c>
      <c r="E1000" s="7">
        <v>0.0</v>
      </c>
      <c r="F1000" s="8"/>
      <c r="G1000" s="6">
        <f t="shared" si="3"/>
        <v>4423</v>
      </c>
      <c r="H1000" s="6">
        <f t="shared" si="4"/>
        <v>18086</v>
      </c>
      <c r="I1000" s="6">
        <f t="shared" si="5"/>
        <v>26933</v>
      </c>
      <c r="J1000" s="6">
        <f t="shared" si="6"/>
        <v>83550</v>
      </c>
      <c r="K1000" s="9"/>
      <c r="L1000" s="9"/>
      <c r="M1000" s="9"/>
      <c r="N1000" s="9">
        <f t="shared" si="7"/>
        <v>12.48319139</v>
      </c>
      <c r="O1000" s="10">
        <f t="shared" si="8"/>
        <v>45.39678951</v>
      </c>
      <c r="P1000" s="9">
        <v>41.0</v>
      </c>
      <c r="Q1000" s="11" t="str">
        <f t="shared" si="9"/>
        <v>cobertura correcta</v>
      </c>
      <c r="R1000" s="12"/>
      <c r="S1000" s="8"/>
      <c r="T1000" s="12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 ht="15.75" customHeight="1">
      <c r="A1001" s="5" t="s">
        <v>1915</v>
      </c>
      <c r="B1001" s="6"/>
      <c r="C1001" s="6">
        <f t="shared" si="1"/>
        <v>7791</v>
      </c>
      <c r="D1001" s="6">
        <f t="shared" si="62"/>
        <v>12</v>
      </c>
      <c r="E1001" s="7">
        <v>0.0</v>
      </c>
      <c r="F1001" s="8"/>
      <c r="G1001" s="6">
        <f t="shared" si="3"/>
        <v>7129</v>
      </c>
      <c r="H1001" s="6">
        <f t="shared" si="4"/>
        <v>15736</v>
      </c>
      <c r="I1001" s="6">
        <f t="shared" si="5"/>
        <v>25826</v>
      </c>
      <c r="J1001" s="6">
        <f t="shared" si="6"/>
        <v>47254</v>
      </c>
      <c r="K1001" s="9"/>
      <c r="L1001" s="9"/>
      <c r="M1001" s="9"/>
      <c r="N1001" s="9">
        <f t="shared" si="7"/>
        <v>6.06520344</v>
      </c>
      <c r="O1001" s="10">
        <f t="shared" si="8"/>
        <v>32.78580446</v>
      </c>
      <c r="P1001" s="9">
        <v>39.0</v>
      </c>
      <c r="Q1001" s="11" t="str">
        <f t="shared" si="9"/>
        <v>¡Compra YA!</v>
      </c>
      <c r="R1001" s="12"/>
      <c r="S1001" s="8"/>
      <c r="T1001" s="12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 ht="15.75" customHeight="1">
      <c r="A1002" s="5" t="s">
        <v>1916</v>
      </c>
      <c r="B1002" s="6" t="s">
        <v>1917</v>
      </c>
      <c r="C1002" s="6">
        <f t="shared" si="1"/>
        <v>8511</v>
      </c>
      <c r="D1002" s="6">
        <f t="shared" si="62"/>
        <v>74</v>
      </c>
      <c r="E1002" s="7">
        <v>0.0</v>
      </c>
      <c r="F1002" s="8"/>
      <c r="G1002" s="6">
        <f t="shared" si="3"/>
        <v>1705</v>
      </c>
      <c r="H1002" s="6">
        <f t="shared" si="4"/>
        <v>9723</v>
      </c>
      <c r="I1002" s="6">
        <f t="shared" si="5"/>
        <v>27561</v>
      </c>
      <c r="J1002" s="6">
        <f t="shared" si="6"/>
        <v>68402</v>
      </c>
      <c r="K1002" s="9"/>
      <c r="L1002" s="9"/>
      <c r="M1002" s="9"/>
      <c r="N1002" s="9">
        <f t="shared" si="7"/>
        <v>8.036893432</v>
      </c>
      <c r="O1002" s="10">
        <f t="shared" si="8"/>
        <v>149.7536657</v>
      </c>
      <c r="P1002" s="9">
        <v>7.0</v>
      </c>
      <c r="Q1002" s="11" t="str">
        <f t="shared" si="9"/>
        <v>cobertura correcta</v>
      </c>
      <c r="R1002" s="12"/>
      <c r="S1002" s="8"/>
      <c r="T1002" s="12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 ht="15.75" customHeight="1">
      <c r="A1003" s="5" t="s">
        <v>1918</v>
      </c>
      <c r="B1003" s="6" t="s">
        <v>1919</v>
      </c>
      <c r="C1003" s="6">
        <f t="shared" si="1"/>
        <v>4074</v>
      </c>
      <c r="D1003" s="6">
        <f t="shared" si="62"/>
        <v>36</v>
      </c>
      <c r="E1003" s="7">
        <v>0.0</v>
      </c>
      <c r="F1003" s="8"/>
      <c r="G1003" s="6">
        <f t="shared" si="3"/>
        <v>6150</v>
      </c>
      <c r="H1003" s="6">
        <f t="shared" si="4"/>
        <v>16935</v>
      </c>
      <c r="I1003" s="6">
        <f t="shared" si="5"/>
        <v>26095</v>
      </c>
      <c r="J1003" s="6">
        <f t="shared" si="6"/>
        <v>42548</v>
      </c>
      <c r="K1003" s="9"/>
      <c r="L1003" s="9"/>
      <c r="M1003" s="9"/>
      <c r="N1003" s="9">
        <f t="shared" si="7"/>
        <v>10.44378989</v>
      </c>
      <c r="O1003" s="10">
        <f t="shared" si="8"/>
        <v>19.87317073</v>
      </c>
      <c r="P1003" s="9">
        <v>30.0</v>
      </c>
      <c r="Q1003" s="11" t="str">
        <f t="shared" si="9"/>
        <v>¡Compra YA!</v>
      </c>
      <c r="R1003" s="12"/>
      <c r="S1003" s="8"/>
      <c r="T1003" s="12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ht="15.75" customHeight="1">
      <c r="A1004" s="5" t="s">
        <v>1920</v>
      </c>
      <c r="B1004" s="6" t="s">
        <v>1921</v>
      </c>
      <c r="C1004" s="6">
        <f t="shared" si="1"/>
        <v>7135</v>
      </c>
      <c r="D1004" s="6">
        <f t="shared" si="62"/>
        <v>129</v>
      </c>
      <c r="E1004" s="7">
        <v>0.0</v>
      </c>
      <c r="F1004" s="8"/>
      <c r="G1004" s="6">
        <f t="shared" si="3"/>
        <v>5939</v>
      </c>
      <c r="H1004" s="6">
        <f t="shared" si="4"/>
        <v>17378</v>
      </c>
      <c r="I1004" s="6">
        <f t="shared" si="5"/>
        <v>20246</v>
      </c>
      <c r="J1004" s="6">
        <f t="shared" si="6"/>
        <v>30682</v>
      </c>
      <c r="K1004" s="9"/>
      <c r="L1004" s="9"/>
      <c r="M1004" s="9"/>
      <c r="N1004" s="9">
        <f t="shared" si="7"/>
        <v>4.300210231</v>
      </c>
      <c r="O1004" s="10">
        <f t="shared" si="8"/>
        <v>36.04142111</v>
      </c>
      <c r="P1004" s="9">
        <v>7.0</v>
      </c>
      <c r="Q1004" s="11" t="str">
        <f t="shared" si="9"/>
        <v>cobertura correcta</v>
      </c>
      <c r="R1004" s="12"/>
      <c r="S1004" s="8"/>
      <c r="T1004" s="12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ht="15.75" customHeight="1">
      <c r="A1005" s="5" t="s">
        <v>1922</v>
      </c>
      <c r="B1005" s="6" t="s">
        <v>1923</v>
      </c>
      <c r="C1005" s="6">
        <f t="shared" si="1"/>
        <v>6227</v>
      </c>
      <c r="D1005" s="6">
        <f t="shared" si="62"/>
        <v>54</v>
      </c>
      <c r="E1005" s="7">
        <v>0.0</v>
      </c>
      <c r="F1005" s="8"/>
      <c r="G1005" s="6">
        <f t="shared" si="3"/>
        <v>8196</v>
      </c>
      <c r="H1005" s="6">
        <f t="shared" si="4"/>
        <v>9351</v>
      </c>
      <c r="I1005" s="6">
        <f t="shared" si="5"/>
        <v>24220</v>
      </c>
      <c r="J1005" s="6">
        <f t="shared" si="6"/>
        <v>69000</v>
      </c>
      <c r="K1005" s="9"/>
      <c r="L1005" s="9"/>
      <c r="M1005" s="9"/>
      <c r="N1005" s="9">
        <f t="shared" si="7"/>
        <v>11.08077726</v>
      </c>
      <c r="O1005" s="10">
        <f t="shared" si="8"/>
        <v>22.79282577</v>
      </c>
      <c r="P1005" s="9">
        <v>7.0</v>
      </c>
      <c r="Q1005" s="11" t="str">
        <f t="shared" si="9"/>
        <v>cobertura correcta</v>
      </c>
      <c r="R1005" s="12"/>
      <c r="S1005" s="8"/>
      <c r="T1005" s="12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 ht="15.75" customHeight="1">
      <c r="A1006" s="5" t="s">
        <v>1924</v>
      </c>
      <c r="B1006" s="6" t="s">
        <v>1925</v>
      </c>
      <c r="C1006" s="6">
        <f t="shared" si="1"/>
        <v>2325</v>
      </c>
      <c r="D1006" s="6">
        <f t="shared" si="62"/>
        <v>26</v>
      </c>
      <c r="E1006" s="7">
        <v>0.0</v>
      </c>
      <c r="F1006" s="8"/>
      <c r="G1006" s="6">
        <f t="shared" si="3"/>
        <v>8932</v>
      </c>
      <c r="H1006" s="6">
        <f t="shared" si="4"/>
        <v>13575</v>
      </c>
      <c r="I1006" s="6">
        <f t="shared" si="5"/>
        <v>22312</v>
      </c>
      <c r="J1006" s="6">
        <f t="shared" si="6"/>
        <v>48258</v>
      </c>
      <c r="K1006" s="9"/>
      <c r="L1006" s="9"/>
      <c r="M1006" s="9"/>
      <c r="N1006" s="9">
        <f t="shared" si="7"/>
        <v>20.75612903</v>
      </c>
      <c r="O1006" s="10">
        <f t="shared" si="8"/>
        <v>7.809001343</v>
      </c>
      <c r="P1006" s="9">
        <v>15.0</v>
      </c>
      <c r="Q1006" s="11" t="str">
        <f t="shared" si="9"/>
        <v>¡Compra YA!</v>
      </c>
      <c r="R1006" s="12"/>
      <c r="S1006" s="8"/>
      <c r="T1006" s="12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 ht="15.75" customHeight="1">
      <c r="A1007" s="5" t="s">
        <v>1926</v>
      </c>
      <c r="B1007" s="6" t="s">
        <v>1927</v>
      </c>
      <c r="C1007" s="6">
        <f t="shared" si="1"/>
        <v>8152</v>
      </c>
      <c r="D1007" s="6">
        <f t="shared" si="62"/>
        <v>118</v>
      </c>
      <c r="E1007" s="7">
        <v>0.0</v>
      </c>
      <c r="F1007" s="8"/>
      <c r="G1007" s="6">
        <f t="shared" si="3"/>
        <v>6227</v>
      </c>
      <c r="H1007" s="6">
        <f t="shared" si="4"/>
        <v>17544</v>
      </c>
      <c r="I1007" s="6">
        <f t="shared" si="5"/>
        <v>19962</v>
      </c>
      <c r="J1007" s="6">
        <f t="shared" si="6"/>
        <v>89599</v>
      </c>
      <c r="K1007" s="9"/>
      <c r="L1007" s="9"/>
      <c r="M1007" s="9"/>
      <c r="N1007" s="9">
        <f t="shared" si="7"/>
        <v>10.99104514</v>
      </c>
      <c r="O1007" s="10">
        <f t="shared" si="8"/>
        <v>39.27412879</v>
      </c>
      <c r="P1007" s="9">
        <v>7.0</v>
      </c>
      <c r="Q1007" s="11" t="str">
        <f t="shared" si="9"/>
        <v>cobertura correcta</v>
      </c>
      <c r="R1007" s="12"/>
      <c r="S1007" s="8"/>
      <c r="T1007" s="12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 ht="15.75" customHeight="1">
      <c r="A1008" s="5" t="s">
        <v>1928</v>
      </c>
      <c r="B1008" s="6" t="s">
        <v>1929</v>
      </c>
      <c r="C1008" s="6">
        <f t="shared" si="1"/>
        <v>7339</v>
      </c>
      <c r="D1008" s="6">
        <f t="shared" si="62"/>
        <v>62</v>
      </c>
      <c r="E1008" s="7">
        <v>0.0</v>
      </c>
      <c r="F1008" s="8"/>
      <c r="G1008" s="6">
        <f t="shared" si="3"/>
        <v>3114</v>
      </c>
      <c r="H1008" s="6">
        <f t="shared" si="4"/>
        <v>11914</v>
      </c>
      <c r="I1008" s="6">
        <f t="shared" si="5"/>
        <v>27470</v>
      </c>
      <c r="J1008" s="6">
        <f t="shared" si="6"/>
        <v>64831</v>
      </c>
      <c r="K1008" s="9"/>
      <c r="L1008" s="9"/>
      <c r="M1008" s="9"/>
      <c r="N1008" s="9">
        <f t="shared" si="7"/>
        <v>8.833764818</v>
      </c>
      <c r="O1008" s="10">
        <f t="shared" si="8"/>
        <v>70.70327553</v>
      </c>
      <c r="P1008" s="9">
        <v>7.0</v>
      </c>
      <c r="Q1008" s="11" t="str">
        <f t="shared" si="9"/>
        <v>cobertura correcta</v>
      </c>
      <c r="R1008" s="12"/>
      <c r="S1008" s="8"/>
      <c r="T1008" s="12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 ht="15.75" customHeight="1">
      <c r="A1009" s="5" t="s">
        <v>1930</v>
      </c>
      <c r="B1009" s="6" t="s">
        <v>1931</v>
      </c>
      <c r="C1009" s="6">
        <f t="shared" si="1"/>
        <v>1464</v>
      </c>
      <c r="D1009" s="6">
        <f t="shared" si="62"/>
        <v>25</v>
      </c>
      <c r="E1009" s="7">
        <v>0.0</v>
      </c>
      <c r="F1009" s="8"/>
      <c r="G1009" s="6">
        <f t="shared" si="3"/>
        <v>3153</v>
      </c>
      <c r="H1009" s="6">
        <f t="shared" si="4"/>
        <v>16691</v>
      </c>
      <c r="I1009" s="6">
        <f t="shared" si="5"/>
        <v>28213</v>
      </c>
      <c r="J1009" s="6">
        <f t="shared" si="6"/>
        <v>78709</v>
      </c>
      <c r="K1009" s="9"/>
      <c r="L1009" s="9"/>
      <c r="M1009" s="9"/>
      <c r="N1009" s="9">
        <f t="shared" si="7"/>
        <v>53.76297814</v>
      </c>
      <c r="O1009" s="10">
        <f t="shared" si="8"/>
        <v>13.92959087</v>
      </c>
      <c r="P1009" s="9">
        <v>7.0</v>
      </c>
      <c r="Q1009" s="11" t="str">
        <f t="shared" si="9"/>
        <v>cobertura correcta</v>
      </c>
      <c r="R1009" s="12"/>
      <c r="S1009" s="8"/>
      <c r="T1009" s="12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 ht="15.75" customHeight="1">
      <c r="A1010" s="5" t="s">
        <v>1932</v>
      </c>
      <c r="B1010" s="6" t="s">
        <v>1933</v>
      </c>
      <c r="C1010" s="6">
        <f t="shared" si="1"/>
        <v>3891</v>
      </c>
      <c r="D1010" s="6">
        <f t="shared" si="62"/>
        <v>183</v>
      </c>
      <c r="E1010" s="7">
        <v>0.0</v>
      </c>
      <c r="F1010" s="8"/>
      <c r="G1010" s="6">
        <f t="shared" si="3"/>
        <v>7252</v>
      </c>
      <c r="H1010" s="6">
        <f t="shared" si="4"/>
        <v>16194</v>
      </c>
      <c r="I1010" s="6">
        <f t="shared" si="5"/>
        <v>24242</v>
      </c>
      <c r="J1010" s="6">
        <f t="shared" si="6"/>
        <v>86900</v>
      </c>
      <c r="K1010" s="9"/>
      <c r="L1010" s="9"/>
      <c r="M1010" s="9"/>
      <c r="N1010" s="9">
        <f t="shared" si="7"/>
        <v>22.33359034</v>
      </c>
      <c r="O1010" s="10">
        <f t="shared" si="8"/>
        <v>16.09624931</v>
      </c>
      <c r="P1010" s="9">
        <v>7.0</v>
      </c>
      <c r="Q1010" s="11" t="str">
        <f t="shared" si="9"/>
        <v>cobertura correcta</v>
      </c>
      <c r="R1010" s="12"/>
      <c r="S1010" s="8"/>
      <c r="T1010" s="12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 ht="15.75" customHeight="1">
      <c r="A1011" s="5" t="s">
        <v>1934</v>
      </c>
      <c r="B1011" s="6" t="s">
        <v>1935</v>
      </c>
      <c r="C1011" s="6">
        <f t="shared" si="1"/>
        <v>2128</v>
      </c>
      <c r="D1011" s="6">
        <f t="shared" si="62"/>
        <v>73</v>
      </c>
      <c r="E1011" s="7">
        <v>0.0</v>
      </c>
      <c r="F1011" s="8"/>
      <c r="G1011" s="6">
        <f t="shared" si="3"/>
        <v>3481</v>
      </c>
      <c r="H1011" s="6">
        <f t="shared" si="4"/>
        <v>15125</v>
      </c>
      <c r="I1011" s="6">
        <f t="shared" si="5"/>
        <v>24557</v>
      </c>
      <c r="J1011" s="6">
        <f t="shared" si="6"/>
        <v>31151</v>
      </c>
      <c r="K1011" s="9"/>
      <c r="L1011" s="9"/>
      <c r="M1011" s="9"/>
      <c r="N1011" s="9">
        <f t="shared" si="7"/>
        <v>14.63862782</v>
      </c>
      <c r="O1011" s="10">
        <f t="shared" si="8"/>
        <v>18.3395576</v>
      </c>
      <c r="P1011" s="9">
        <v>7.0</v>
      </c>
      <c r="Q1011" s="11" t="str">
        <f t="shared" si="9"/>
        <v>cobertura correcta</v>
      </c>
      <c r="R1011" s="12"/>
      <c r="S1011" s="8"/>
      <c r="T1011" s="12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5" t="s">
        <v>1936</v>
      </c>
      <c r="B1012" s="6" t="s">
        <v>1937</v>
      </c>
      <c r="C1012" s="6">
        <f t="shared" si="1"/>
        <v>5780</v>
      </c>
      <c r="D1012" s="6">
        <f t="shared" si="62"/>
        <v>80</v>
      </c>
      <c r="E1012" s="7">
        <v>0.0</v>
      </c>
      <c r="F1012" s="8"/>
      <c r="G1012" s="6">
        <f t="shared" si="3"/>
        <v>8075</v>
      </c>
      <c r="H1012" s="6">
        <f t="shared" si="4"/>
        <v>10313</v>
      </c>
      <c r="I1012" s="6">
        <f t="shared" si="5"/>
        <v>25870</v>
      </c>
      <c r="J1012" s="6">
        <f t="shared" si="6"/>
        <v>40674</v>
      </c>
      <c r="K1012" s="9"/>
      <c r="L1012" s="9"/>
      <c r="M1012" s="9"/>
      <c r="N1012" s="9">
        <f t="shared" si="7"/>
        <v>7.037024221</v>
      </c>
      <c r="O1012" s="10">
        <f t="shared" si="8"/>
        <v>21.47368421</v>
      </c>
      <c r="P1012" s="9">
        <v>7.0</v>
      </c>
      <c r="Q1012" s="11" t="str">
        <f t="shared" si="9"/>
        <v>cobertura correcta</v>
      </c>
      <c r="R1012" s="12"/>
      <c r="S1012" s="8"/>
      <c r="T1012" s="12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5" t="s">
        <v>1938</v>
      </c>
      <c r="B1013" s="6" t="s">
        <v>1939</v>
      </c>
      <c r="C1013" s="6">
        <f t="shared" si="1"/>
        <v>7774</v>
      </c>
      <c r="D1013" s="6">
        <f t="shared" si="62"/>
        <v>180</v>
      </c>
      <c r="E1013" s="7">
        <v>0.0</v>
      </c>
      <c r="F1013" s="8"/>
      <c r="G1013" s="6">
        <f t="shared" si="3"/>
        <v>4828</v>
      </c>
      <c r="H1013" s="6">
        <f t="shared" si="4"/>
        <v>12390</v>
      </c>
      <c r="I1013" s="6">
        <f t="shared" si="5"/>
        <v>20969</v>
      </c>
      <c r="J1013" s="6">
        <f t="shared" si="6"/>
        <v>92602</v>
      </c>
      <c r="K1013" s="9"/>
      <c r="L1013" s="9"/>
      <c r="M1013" s="9"/>
      <c r="N1013" s="9">
        <f t="shared" si="7"/>
        <v>11.91175714</v>
      </c>
      <c r="O1013" s="10">
        <f t="shared" si="8"/>
        <v>48.30571665</v>
      </c>
      <c r="P1013" s="9">
        <v>15.0</v>
      </c>
      <c r="Q1013" s="11" t="str">
        <f t="shared" si="9"/>
        <v>cobertura correcta</v>
      </c>
      <c r="R1013" s="12"/>
      <c r="S1013" s="8"/>
      <c r="T1013" s="12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5" t="s">
        <v>1940</v>
      </c>
      <c r="B1014" s="6" t="s">
        <v>1941</v>
      </c>
      <c r="C1014" s="6">
        <f t="shared" si="1"/>
        <v>6679</v>
      </c>
      <c r="D1014" s="6">
        <f t="shared" si="62"/>
        <v>2</v>
      </c>
      <c r="E1014" s="7">
        <v>0.0</v>
      </c>
      <c r="F1014" s="8"/>
      <c r="G1014" s="6">
        <f t="shared" si="3"/>
        <v>6193</v>
      </c>
      <c r="H1014" s="6">
        <f t="shared" si="4"/>
        <v>17867</v>
      </c>
      <c r="I1014" s="6">
        <f t="shared" si="5"/>
        <v>28583</v>
      </c>
      <c r="J1014" s="6">
        <f t="shared" si="6"/>
        <v>96590</v>
      </c>
      <c r="K1014" s="9"/>
      <c r="L1014" s="9"/>
      <c r="M1014" s="9"/>
      <c r="N1014" s="9">
        <f t="shared" si="7"/>
        <v>14.46174577</v>
      </c>
      <c r="O1014" s="10">
        <f t="shared" si="8"/>
        <v>32.35427095</v>
      </c>
      <c r="P1014" s="9">
        <v>15.0</v>
      </c>
      <c r="Q1014" s="11" t="str">
        <f t="shared" si="9"/>
        <v>cobertura correcta</v>
      </c>
      <c r="R1014" s="12"/>
      <c r="S1014" s="8"/>
      <c r="T1014" s="12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5" t="s">
        <v>1942</v>
      </c>
      <c r="B1015" s="6" t="s">
        <v>1943</v>
      </c>
      <c r="C1015" s="6">
        <f t="shared" si="1"/>
        <v>4289</v>
      </c>
      <c r="D1015" s="6">
        <f t="shared" si="62"/>
        <v>151</v>
      </c>
      <c r="E1015" s="7">
        <v>0.0</v>
      </c>
      <c r="F1015" s="8"/>
      <c r="G1015" s="6">
        <f t="shared" si="3"/>
        <v>2017</v>
      </c>
      <c r="H1015" s="6">
        <f t="shared" si="4"/>
        <v>9710</v>
      </c>
      <c r="I1015" s="6">
        <f t="shared" si="5"/>
        <v>21020</v>
      </c>
      <c r="J1015" s="6">
        <f t="shared" si="6"/>
        <v>49858</v>
      </c>
      <c r="K1015" s="9"/>
      <c r="L1015" s="9"/>
      <c r="M1015" s="9"/>
      <c r="N1015" s="9">
        <f t="shared" si="7"/>
        <v>11.62462112</v>
      </c>
      <c r="O1015" s="10">
        <f t="shared" si="8"/>
        <v>63.79276153</v>
      </c>
      <c r="P1015" s="9">
        <v>15.0</v>
      </c>
      <c r="Q1015" s="11" t="str">
        <f t="shared" si="9"/>
        <v>cobertura correcta</v>
      </c>
      <c r="R1015" s="12"/>
      <c r="S1015" s="8"/>
      <c r="T1015" s="12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5" t="s">
        <v>1944</v>
      </c>
      <c r="B1016" s="6" t="s">
        <v>1945</v>
      </c>
      <c r="C1016" s="6">
        <f t="shared" si="1"/>
        <v>5628</v>
      </c>
      <c r="D1016" s="6">
        <f t="shared" si="62"/>
        <v>30</v>
      </c>
      <c r="E1016" s="7">
        <v>0.0</v>
      </c>
      <c r="F1016" s="8"/>
      <c r="G1016" s="6">
        <f t="shared" si="3"/>
        <v>3638</v>
      </c>
      <c r="H1016" s="6">
        <f t="shared" si="4"/>
        <v>9763</v>
      </c>
      <c r="I1016" s="6">
        <f t="shared" si="5"/>
        <v>25272</v>
      </c>
      <c r="J1016" s="6">
        <f t="shared" si="6"/>
        <v>98348</v>
      </c>
      <c r="K1016" s="9"/>
      <c r="L1016" s="9"/>
      <c r="M1016" s="9"/>
      <c r="N1016" s="9">
        <f t="shared" si="7"/>
        <v>17.47476901</v>
      </c>
      <c r="O1016" s="10">
        <f t="shared" si="8"/>
        <v>46.41011545</v>
      </c>
      <c r="P1016" s="9">
        <v>15.0</v>
      </c>
      <c r="Q1016" s="11" t="str">
        <f t="shared" si="9"/>
        <v>cobertura correcta</v>
      </c>
      <c r="R1016" s="12"/>
      <c r="S1016" s="8"/>
      <c r="T1016" s="12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5" t="s">
        <v>1946</v>
      </c>
      <c r="B1017" s="6" t="s">
        <v>1947</v>
      </c>
      <c r="C1017" s="6">
        <f t="shared" si="1"/>
        <v>2867</v>
      </c>
      <c r="D1017" s="6">
        <f t="shared" si="62"/>
        <v>186</v>
      </c>
      <c r="E1017" s="7">
        <v>0.0</v>
      </c>
      <c r="F1017" s="8"/>
      <c r="G1017" s="6">
        <f t="shared" si="3"/>
        <v>6483</v>
      </c>
      <c r="H1017" s="6">
        <f t="shared" si="4"/>
        <v>17074</v>
      </c>
      <c r="I1017" s="6">
        <f t="shared" si="5"/>
        <v>28261</v>
      </c>
      <c r="J1017" s="6">
        <f t="shared" si="6"/>
        <v>88068</v>
      </c>
      <c r="K1017" s="9"/>
      <c r="L1017" s="9"/>
      <c r="M1017" s="9"/>
      <c r="N1017" s="9">
        <f t="shared" si="7"/>
        <v>30.71782351</v>
      </c>
      <c r="O1017" s="10">
        <f t="shared" si="8"/>
        <v>13.26700602</v>
      </c>
      <c r="P1017" s="9">
        <v>30.0</v>
      </c>
      <c r="Q1017" s="11" t="str">
        <f t="shared" si="9"/>
        <v>¡Compra YA!</v>
      </c>
      <c r="R1017" s="12"/>
      <c r="S1017" s="8"/>
      <c r="T1017" s="12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5" t="s">
        <v>1948</v>
      </c>
      <c r="B1018" s="6" t="s">
        <v>1949</v>
      </c>
      <c r="C1018" s="6">
        <f t="shared" si="1"/>
        <v>8489</v>
      </c>
      <c r="D1018" s="6">
        <f t="shared" si="62"/>
        <v>2</v>
      </c>
      <c r="E1018" s="7">
        <v>0.0</v>
      </c>
      <c r="F1018" s="8"/>
      <c r="G1018" s="6">
        <f t="shared" si="3"/>
        <v>1687</v>
      </c>
      <c r="H1018" s="6">
        <f t="shared" si="4"/>
        <v>18023</v>
      </c>
      <c r="I1018" s="6">
        <f t="shared" si="5"/>
        <v>27011</v>
      </c>
      <c r="J1018" s="6">
        <f t="shared" si="6"/>
        <v>33746</v>
      </c>
      <c r="K1018" s="9"/>
      <c r="L1018" s="9"/>
      <c r="M1018" s="9"/>
      <c r="N1018" s="9">
        <f t="shared" si="7"/>
        <v>3.975262104</v>
      </c>
      <c r="O1018" s="10">
        <f t="shared" si="8"/>
        <v>150.9602845</v>
      </c>
      <c r="P1018" s="9">
        <v>15.0</v>
      </c>
      <c r="Q1018" s="11" t="str">
        <f t="shared" si="9"/>
        <v>cobertura correcta</v>
      </c>
      <c r="R1018" s="12"/>
      <c r="S1018" s="8"/>
      <c r="T1018" s="12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5" t="s">
        <v>1950</v>
      </c>
      <c r="B1019" s="6"/>
      <c r="C1019" s="6">
        <f t="shared" si="1"/>
        <v>3975</v>
      </c>
      <c r="D1019" s="6">
        <f t="shared" si="62"/>
        <v>168</v>
      </c>
      <c r="E1019" s="7">
        <v>0.0</v>
      </c>
      <c r="F1019" s="8"/>
      <c r="G1019" s="6">
        <f t="shared" si="3"/>
        <v>7878</v>
      </c>
      <c r="H1019" s="6">
        <f t="shared" si="4"/>
        <v>9706</v>
      </c>
      <c r="I1019" s="6">
        <f t="shared" si="5"/>
        <v>20600</v>
      </c>
      <c r="J1019" s="6">
        <f t="shared" si="6"/>
        <v>42387</v>
      </c>
      <c r="K1019" s="9"/>
      <c r="L1019" s="9"/>
      <c r="M1019" s="9"/>
      <c r="N1019" s="9">
        <f t="shared" si="7"/>
        <v>10.66339623</v>
      </c>
      <c r="O1019" s="10">
        <f t="shared" si="8"/>
        <v>15.13709063</v>
      </c>
      <c r="P1019" s="9">
        <v>15.0</v>
      </c>
      <c r="Q1019" s="11" t="str">
        <f t="shared" si="9"/>
        <v>cobertura correcta</v>
      </c>
      <c r="R1019" s="12"/>
      <c r="S1019" s="8"/>
      <c r="T1019" s="12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5" t="s">
        <v>1951</v>
      </c>
      <c r="B1020" s="6" t="s">
        <v>1952</v>
      </c>
      <c r="C1020" s="6">
        <f t="shared" si="1"/>
        <v>5455</v>
      </c>
      <c r="D1020" s="6">
        <f t="shared" si="62"/>
        <v>39</v>
      </c>
      <c r="E1020" s="7">
        <v>0.0</v>
      </c>
      <c r="F1020" s="8"/>
      <c r="G1020" s="6">
        <f t="shared" si="3"/>
        <v>5166</v>
      </c>
      <c r="H1020" s="6">
        <f t="shared" si="4"/>
        <v>9961</v>
      </c>
      <c r="I1020" s="6">
        <f t="shared" si="5"/>
        <v>23037</v>
      </c>
      <c r="J1020" s="6">
        <f t="shared" si="6"/>
        <v>91778</v>
      </c>
      <c r="K1020" s="9"/>
      <c r="L1020" s="9"/>
      <c r="M1020" s="9"/>
      <c r="N1020" s="9">
        <f t="shared" si="7"/>
        <v>16.82456462</v>
      </c>
      <c r="O1020" s="10">
        <f t="shared" si="8"/>
        <v>31.67828107</v>
      </c>
      <c r="P1020" s="9">
        <v>15.0</v>
      </c>
      <c r="Q1020" s="11" t="str">
        <f t="shared" si="9"/>
        <v>cobertura correcta</v>
      </c>
      <c r="R1020" s="12"/>
      <c r="S1020" s="8"/>
      <c r="T1020" s="12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5" t="s">
        <v>1953</v>
      </c>
      <c r="B1021" s="6"/>
      <c r="C1021" s="6">
        <f t="shared" si="1"/>
        <v>6220</v>
      </c>
      <c r="D1021" s="6">
        <f t="shared" si="62"/>
        <v>73</v>
      </c>
      <c r="E1021" s="7">
        <v>0.0</v>
      </c>
      <c r="F1021" s="8"/>
      <c r="G1021" s="6">
        <f t="shared" si="3"/>
        <v>5630</v>
      </c>
      <c r="H1021" s="6">
        <f t="shared" si="4"/>
        <v>13644</v>
      </c>
      <c r="I1021" s="6">
        <f t="shared" si="5"/>
        <v>26935</v>
      </c>
      <c r="J1021" s="6">
        <f t="shared" si="6"/>
        <v>52613</v>
      </c>
      <c r="K1021" s="9"/>
      <c r="L1021" s="9"/>
      <c r="M1021" s="9"/>
      <c r="N1021" s="9">
        <f t="shared" si="7"/>
        <v>8.458681672</v>
      </c>
      <c r="O1021" s="10">
        <f t="shared" si="8"/>
        <v>33.14387211</v>
      </c>
      <c r="P1021" s="9">
        <v>15.0</v>
      </c>
      <c r="Q1021" s="11" t="str">
        <f t="shared" si="9"/>
        <v>cobertura correcta</v>
      </c>
      <c r="R1021" s="12"/>
      <c r="S1021" s="8"/>
      <c r="T1021" s="12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5" t="s">
        <v>1954</v>
      </c>
      <c r="B1022" s="6" t="s">
        <v>1955</v>
      </c>
      <c r="C1022" s="6">
        <f t="shared" si="1"/>
        <v>2684</v>
      </c>
      <c r="D1022" s="6">
        <f t="shared" si="62"/>
        <v>71</v>
      </c>
      <c r="E1022" s="7">
        <v>0.0</v>
      </c>
      <c r="F1022" s="8"/>
      <c r="G1022" s="6">
        <f t="shared" si="3"/>
        <v>2598</v>
      </c>
      <c r="H1022" s="6">
        <f t="shared" si="4"/>
        <v>15935</v>
      </c>
      <c r="I1022" s="6">
        <f t="shared" si="5"/>
        <v>25228</v>
      </c>
      <c r="J1022" s="6">
        <f t="shared" si="6"/>
        <v>73103</v>
      </c>
      <c r="K1022" s="9"/>
      <c r="L1022" s="9"/>
      <c r="M1022" s="9"/>
      <c r="N1022" s="9">
        <f t="shared" si="7"/>
        <v>27.23658718</v>
      </c>
      <c r="O1022" s="10">
        <f t="shared" si="8"/>
        <v>30.99307159</v>
      </c>
      <c r="P1022" s="9">
        <v>7.0</v>
      </c>
      <c r="Q1022" s="11" t="str">
        <f t="shared" si="9"/>
        <v>cobertura correcta</v>
      </c>
      <c r="R1022" s="12"/>
      <c r="S1022" s="8"/>
      <c r="T1022" s="12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5" t="s">
        <v>1956</v>
      </c>
      <c r="B1023" s="6" t="s">
        <v>1957</v>
      </c>
      <c r="C1023" s="6">
        <f t="shared" si="1"/>
        <v>4781</v>
      </c>
      <c r="D1023" s="6">
        <f t="shared" si="62"/>
        <v>65</v>
      </c>
      <c r="E1023" s="7">
        <v>0.0</v>
      </c>
      <c r="F1023" s="8"/>
      <c r="G1023" s="6">
        <f t="shared" si="3"/>
        <v>6588</v>
      </c>
      <c r="H1023" s="6">
        <f t="shared" si="4"/>
        <v>14537</v>
      </c>
      <c r="I1023" s="6">
        <f t="shared" si="5"/>
        <v>27659</v>
      </c>
      <c r="J1023" s="6">
        <f t="shared" si="6"/>
        <v>41308</v>
      </c>
      <c r="K1023" s="9"/>
      <c r="L1023" s="9"/>
      <c r="M1023" s="9"/>
      <c r="N1023" s="9">
        <f t="shared" si="7"/>
        <v>8.640033466</v>
      </c>
      <c r="O1023" s="10">
        <f t="shared" si="8"/>
        <v>21.77140255</v>
      </c>
      <c r="P1023" s="9">
        <v>7.0</v>
      </c>
      <c r="Q1023" s="11" t="str">
        <f t="shared" si="9"/>
        <v>cobertura correcta</v>
      </c>
      <c r="R1023" s="12"/>
      <c r="S1023" s="8"/>
      <c r="T1023" s="12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5" t="s">
        <v>1958</v>
      </c>
      <c r="B1024" s="6" t="s">
        <v>1959</v>
      </c>
      <c r="C1024" s="6">
        <f t="shared" si="1"/>
        <v>1911</v>
      </c>
      <c r="D1024" s="6">
        <f t="shared" si="62"/>
        <v>138</v>
      </c>
      <c r="E1024" s="7">
        <v>0.0</v>
      </c>
      <c r="F1024" s="8"/>
      <c r="G1024" s="6">
        <f t="shared" si="3"/>
        <v>1526</v>
      </c>
      <c r="H1024" s="6">
        <f t="shared" si="4"/>
        <v>15432</v>
      </c>
      <c r="I1024" s="6">
        <f t="shared" si="5"/>
        <v>19800</v>
      </c>
      <c r="J1024" s="6">
        <f t="shared" si="6"/>
        <v>58194</v>
      </c>
      <c r="K1024" s="9"/>
      <c r="L1024" s="9"/>
      <c r="M1024" s="9"/>
      <c r="N1024" s="9">
        <f t="shared" si="7"/>
        <v>30.45211931</v>
      </c>
      <c r="O1024" s="10">
        <f t="shared" si="8"/>
        <v>37.56880734</v>
      </c>
      <c r="P1024" s="9">
        <v>7.0</v>
      </c>
      <c r="Q1024" s="11" t="str">
        <f t="shared" si="9"/>
        <v>cobertura correcta</v>
      </c>
      <c r="R1024" s="12"/>
      <c r="S1024" s="8"/>
      <c r="T1024" s="12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5" t="s">
        <v>1960</v>
      </c>
      <c r="B1025" s="6" t="s">
        <v>1961</v>
      </c>
      <c r="C1025" s="6">
        <f t="shared" si="1"/>
        <v>6853</v>
      </c>
      <c r="D1025" s="6">
        <f t="shared" si="62"/>
        <v>175</v>
      </c>
      <c r="E1025" s="7">
        <v>0.0</v>
      </c>
      <c r="F1025" s="8"/>
      <c r="G1025" s="6">
        <f t="shared" si="3"/>
        <v>6672</v>
      </c>
      <c r="H1025" s="6">
        <f t="shared" si="4"/>
        <v>9575</v>
      </c>
      <c r="I1025" s="6">
        <f t="shared" si="5"/>
        <v>26630</v>
      </c>
      <c r="J1025" s="6">
        <f t="shared" si="6"/>
        <v>68693</v>
      </c>
      <c r="K1025" s="9"/>
      <c r="L1025" s="9"/>
      <c r="M1025" s="9"/>
      <c r="N1025" s="9">
        <f t="shared" si="7"/>
        <v>10.0237852</v>
      </c>
      <c r="O1025" s="10">
        <f t="shared" si="8"/>
        <v>30.81384892</v>
      </c>
      <c r="P1025" s="9">
        <v>7.0</v>
      </c>
      <c r="Q1025" s="11" t="str">
        <f t="shared" si="9"/>
        <v>cobertura correcta</v>
      </c>
      <c r="R1025" s="12"/>
      <c r="S1025" s="8"/>
      <c r="T1025" s="12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5" t="s">
        <v>1962</v>
      </c>
      <c r="B1026" s="6" t="s">
        <v>1963</v>
      </c>
      <c r="C1026" s="6">
        <f t="shared" si="1"/>
        <v>1759</v>
      </c>
      <c r="D1026" s="6">
        <f t="shared" si="62"/>
        <v>86</v>
      </c>
      <c r="E1026" s="7">
        <v>0.0</v>
      </c>
      <c r="F1026" s="8"/>
      <c r="G1026" s="6">
        <f t="shared" si="3"/>
        <v>7791</v>
      </c>
      <c r="H1026" s="6">
        <f t="shared" si="4"/>
        <v>16458</v>
      </c>
      <c r="I1026" s="6">
        <f t="shared" si="5"/>
        <v>23053</v>
      </c>
      <c r="J1026" s="6">
        <f t="shared" si="6"/>
        <v>76186</v>
      </c>
      <c r="K1026" s="9"/>
      <c r="L1026" s="9"/>
      <c r="M1026" s="9"/>
      <c r="N1026" s="9">
        <f t="shared" si="7"/>
        <v>43.31210915</v>
      </c>
      <c r="O1026" s="10">
        <f t="shared" si="8"/>
        <v>6.773199846</v>
      </c>
      <c r="P1026" s="9">
        <v>20.0</v>
      </c>
      <c r="Q1026" s="11" t="str">
        <f t="shared" si="9"/>
        <v>¡Compra YA!</v>
      </c>
      <c r="R1026" s="12"/>
      <c r="S1026" s="8"/>
      <c r="T1026" s="12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5" t="s">
        <v>1964</v>
      </c>
      <c r="B1027" s="6" t="s">
        <v>1965</v>
      </c>
      <c r="C1027" s="6">
        <f t="shared" si="1"/>
        <v>2610</v>
      </c>
      <c r="D1027" s="6">
        <f t="shared" si="62"/>
        <v>160</v>
      </c>
      <c r="E1027" s="7">
        <v>0.0</v>
      </c>
      <c r="F1027" s="8"/>
      <c r="G1027" s="6">
        <f t="shared" si="3"/>
        <v>3792</v>
      </c>
      <c r="H1027" s="6">
        <f t="shared" si="4"/>
        <v>10184</v>
      </c>
      <c r="I1027" s="6">
        <f t="shared" si="5"/>
        <v>20233</v>
      </c>
      <c r="J1027" s="6">
        <f t="shared" si="6"/>
        <v>37267</v>
      </c>
      <c r="K1027" s="9"/>
      <c r="L1027" s="9"/>
      <c r="M1027" s="9"/>
      <c r="N1027" s="9">
        <f t="shared" si="7"/>
        <v>14.27854406</v>
      </c>
      <c r="O1027" s="10">
        <f t="shared" si="8"/>
        <v>20.64873418</v>
      </c>
      <c r="P1027" s="9">
        <v>7.0</v>
      </c>
      <c r="Q1027" s="11" t="str">
        <f t="shared" si="9"/>
        <v>cobertura correcta</v>
      </c>
      <c r="R1027" s="12"/>
      <c r="S1027" s="8"/>
      <c r="T1027" s="12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5" t="s">
        <v>1966</v>
      </c>
      <c r="B1028" s="6" t="s">
        <v>1967</v>
      </c>
      <c r="C1028" s="6">
        <f t="shared" si="1"/>
        <v>3372</v>
      </c>
      <c r="D1028" s="6">
        <f t="shared" si="62"/>
        <v>132</v>
      </c>
      <c r="E1028" s="7">
        <v>0.0</v>
      </c>
      <c r="F1028" s="8"/>
      <c r="G1028" s="6">
        <f t="shared" si="3"/>
        <v>6869</v>
      </c>
      <c r="H1028" s="6">
        <f t="shared" si="4"/>
        <v>15576</v>
      </c>
      <c r="I1028" s="6">
        <f t="shared" si="5"/>
        <v>19941</v>
      </c>
      <c r="J1028" s="6">
        <f t="shared" si="6"/>
        <v>60380</v>
      </c>
      <c r="K1028" s="9"/>
      <c r="L1028" s="9"/>
      <c r="M1028" s="9"/>
      <c r="N1028" s="9">
        <f t="shared" si="7"/>
        <v>17.90628707</v>
      </c>
      <c r="O1028" s="10">
        <f t="shared" si="8"/>
        <v>14.7270345</v>
      </c>
      <c r="P1028" s="9">
        <v>7.0</v>
      </c>
      <c r="Q1028" s="11" t="str">
        <f t="shared" si="9"/>
        <v>cobertura correcta</v>
      </c>
      <c r="R1028" s="12"/>
      <c r="S1028" s="8"/>
      <c r="T1028" s="12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5" t="s">
        <v>1968</v>
      </c>
      <c r="B1029" s="6" t="s">
        <v>1969</v>
      </c>
      <c r="C1029" s="6">
        <f t="shared" si="1"/>
        <v>1639</v>
      </c>
      <c r="D1029" s="6">
        <f t="shared" si="62"/>
        <v>79</v>
      </c>
      <c r="E1029" s="7">
        <v>0.0</v>
      </c>
      <c r="F1029" s="8"/>
      <c r="G1029" s="6">
        <f t="shared" si="3"/>
        <v>7141</v>
      </c>
      <c r="H1029" s="6">
        <f t="shared" si="4"/>
        <v>13149</v>
      </c>
      <c r="I1029" s="6">
        <f t="shared" si="5"/>
        <v>27141</v>
      </c>
      <c r="J1029" s="6">
        <f t="shared" si="6"/>
        <v>76456</v>
      </c>
      <c r="K1029" s="9"/>
      <c r="L1029" s="9"/>
      <c r="M1029" s="9"/>
      <c r="N1029" s="9">
        <f t="shared" si="7"/>
        <v>46.64795607</v>
      </c>
      <c r="O1029" s="10">
        <f t="shared" si="8"/>
        <v>6.885590253</v>
      </c>
      <c r="P1029" s="9">
        <v>15.0</v>
      </c>
      <c r="Q1029" s="11" t="str">
        <f t="shared" si="9"/>
        <v>¡Compra YA!</v>
      </c>
      <c r="R1029" s="12"/>
      <c r="S1029" s="8"/>
      <c r="T1029" s="12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5" t="s">
        <v>1970</v>
      </c>
      <c r="B1030" s="6" t="s">
        <v>1971</v>
      </c>
      <c r="C1030" s="6">
        <f t="shared" si="1"/>
        <v>2425</v>
      </c>
      <c r="D1030" s="6">
        <f t="shared" si="62"/>
        <v>180</v>
      </c>
      <c r="E1030" s="7">
        <v>0.0</v>
      </c>
      <c r="F1030" s="8"/>
      <c r="G1030" s="6">
        <f t="shared" si="3"/>
        <v>6505</v>
      </c>
      <c r="H1030" s="6">
        <f t="shared" si="4"/>
        <v>15565</v>
      </c>
      <c r="I1030" s="6">
        <f t="shared" si="5"/>
        <v>21874</v>
      </c>
      <c r="J1030" s="6">
        <f t="shared" si="6"/>
        <v>48853</v>
      </c>
      <c r="K1030" s="9"/>
      <c r="L1030" s="9"/>
      <c r="M1030" s="9"/>
      <c r="N1030" s="9">
        <f t="shared" si="7"/>
        <v>20.14556701</v>
      </c>
      <c r="O1030" s="10">
        <f t="shared" si="8"/>
        <v>11.18370484</v>
      </c>
      <c r="P1030" s="9">
        <v>15.0</v>
      </c>
      <c r="Q1030" s="11" t="str">
        <f t="shared" si="9"/>
        <v>¡Compra YA!</v>
      </c>
      <c r="R1030" s="12"/>
      <c r="S1030" s="8"/>
      <c r="T1030" s="12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5" t="s">
        <v>1972</v>
      </c>
      <c r="B1031" s="6" t="s">
        <v>1973</v>
      </c>
      <c r="C1031" s="6">
        <f t="shared" si="1"/>
        <v>2098</v>
      </c>
      <c r="D1031" s="6">
        <f t="shared" si="62"/>
        <v>73</v>
      </c>
      <c r="E1031" s="7">
        <v>0.0</v>
      </c>
      <c r="F1031" s="8"/>
      <c r="G1031" s="6">
        <f t="shared" si="3"/>
        <v>7890</v>
      </c>
      <c r="H1031" s="6">
        <f t="shared" si="4"/>
        <v>12546</v>
      </c>
      <c r="I1031" s="6">
        <f t="shared" si="5"/>
        <v>25863</v>
      </c>
      <c r="J1031" s="6">
        <f t="shared" si="6"/>
        <v>34753</v>
      </c>
      <c r="K1031" s="9"/>
      <c r="L1031" s="9"/>
      <c r="M1031" s="9"/>
      <c r="N1031" s="9">
        <f t="shared" si="7"/>
        <v>16.56482364</v>
      </c>
      <c r="O1031" s="10">
        <f t="shared" si="8"/>
        <v>7.977186312</v>
      </c>
      <c r="P1031" s="9">
        <v>7.0</v>
      </c>
      <c r="Q1031" s="11" t="str">
        <f t="shared" si="9"/>
        <v>cobertura correcta</v>
      </c>
      <c r="R1031" s="12"/>
      <c r="S1031" s="8"/>
      <c r="T1031" s="12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5" t="s">
        <v>1974</v>
      </c>
      <c r="B1032" s="6" t="s">
        <v>1975</v>
      </c>
      <c r="C1032" s="6">
        <f t="shared" si="1"/>
        <v>7711</v>
      </c>
      <c r="D1032" s="6">
        <f t="shared" si="62"/>
        <v>124</v>
      </c>
      <c r="E1032" s="7">
        <v>0.0</v>
      </c>
      <c r="F1032" s="8"/>
      <c r="G1032" s="6">
        <f t="shared" si="3"/>
        <v>6418</v>
      </c>
      <c r="H1032" s="6">
        <f t="shared" si="4"/>
        <v>12383</v>
      </c>
      <c r="I1032" s="6">
        <f t="shared" si="5"/>
        <v>20449</v>
      </c>
      <c r="J1032" s="6">
        <f t="shared" si="6"/>
        <v>56704</v>
      </c>
      <c r="K1032" s="9"/>
      <c r="L1032" s="9"/>
      <c r="M1032" s="9"/>
      <c r="N1032" s="9">
        <f t="shared" si="7"/>
        <v>7.353650629</v>
      </c>
      <c r="O1032" s="10">
        <f t="shared" si="8"/>
        <v>36.04393892</v>
      </c>
      <c r="P1032" s="9">
        <v>20.0</v>
      </c>
      <c r="Q1032" s="11" t="str">
        <f t="shared" si="9"/>
        <v>cobertura correcta</v>
      </c>
      <c r="R1032" s="12"/>
      <c r="S1032" s="8"/>
      <c r="T1032" s="12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5.75" customHeight="1">
      <c r="A1033" s="5" t="s">
        <v>1976</v>
      </c>
      <c r="B1033" s="6" t="s">
        <v>1977</v>
      </c>
      <c r="C1033" s="6">
        <f t="shared" si="1"/>
        <v>4408</v>
      </c>
      <c r="D1033" s="6">
        <f t="shared" si="62"/>
        <v>114</v>
      </c>
      <c r="E1033" s="7">
        <v>0.0</v>
      </c>
      <c r="F1033" s="8"/>
      <c r="G1033" s="6">
        <f t="shared" si="3"/>
        <v>6424</v>
      </c>
      <c r="H1033" s="6">
        <f t="shared" si="4"/>
        <v>10960</v>
      </c>
      <c r="I1033" s="6">
        <f t="shared" si="5"/>
        <v>22980</v>
      </c>
      <c r="J1033" s="6">
        <f t="shared" si="6"/>
        <v>55484</v>
      </c>
      <c r="K1033" s="9"/>
      <c r="L1033" s="9"/>
      <c r="M1033" s="9"/>
      <c r="N1033" s="9">
        <f t="shared" si="7"/>
        <v>12.58711434</v>
      </c>
      <c r="O1033" s="10">
        <f t="shared" si="8"/>
        <v>20.58530511</v>
      </c>
      <c r="P1033" s="9">
        <v>7.0</v>
      </c>
      <c r="Q1033" s="11" t="str">
        <f t="shared" si="9"/>
        <v>cobertura correcta</v>
      </c>
      <c r="R1033" s="12"/>
      <c r="S1033" s="8"/>
      <c r="T1033" s="12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5" t="s">
        <v>1978</v>
      </c>
      <c r="B1034" s="6" t="s">
        <v>1979</v>
      </c>
      <c r="C1034" s="6">
        <f t="shared" si="1"/>
        <v>4169</v>
      </c>
      <c r="D1034" s="6">
        <f t="shared" si="62"/>
        <v>183</v>
      </c>
      <c r="E1034" s="7">
        <v>0.0</v>
      </c>
      <c r="F1034" s="8"/>
      <c r="G1034" s="6">
        <f t="shared" si="3"/>
        <v>2096</v>
      </c>
      <c r="H1034" s="6">
        <f t="shared" si="4"/>
        <v>16744</v>
      </c>
      <c r="I1034" s="6">
        <f t="shared" si="5"/>
        <v>26032</v>
      </c>
      <c r="J1034" s="6">
        <f t="shared" si="6"/>
        <v>64109</v>
      </c>
      <c r="K1034" s="9"/>
      <c r="L1034" s="9"/>
      <c r="M1034" s="9"/>
      <c r="N1034" s="9">
        <f t="shared" si="7"/>
        <v>15.37754857</v>
      </c>
      <c r="O1034" s="10">
        <f t="shared" si="8"/>
        <v>59.67080153</v>
      </c>
      <c r="P1034" s="9">
        <v>7.0</v>
      </c>
      <c r="Q1034" s="11" t="str">
        <f t="shared" si="9"/>
        <v>cobertura correcta</v>
      </c>
      <c r="R1034" s="12"/>
      <c r="S1034" s="8"/>
      <c r="T1034" s="12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5.75" customHeight="1">
      <c r="A1035" s="5" t="s">
        <v>1980</v>
      </c>
      <c r="B1035" s="6" t="s">
        <v>1981</v>
      </c>
      <c r="C1035" s="6">
        <f t="shared" si="1"/>
        <v>7741</v>
      </c>
      <c r="D1035" s="6">
        <f t="shared" si="62"/>
        <v>119</v>
      </c>
      <c r="E1035" s="7">
        <v>0.0</v>
      </c>
      <c r="F1035" s="8"/>
      <c r="G1035" s="6">
        <f t="shared" si="3"/>
        <v>4387</v>
      </c>
      <c r="H1035" s="6">
        <f t="shared" si="4"/>
        <v>9941</v>
      </c>
      <c r="I1035" s="6">
        <f t="shared" si="5"/>
        <v>22794</v>
      </c>
      <c r="J1035" s="6">
        <f t="shared" si="6"/>
        <v>30506</v>
      </c>
      <c r="K1035" s="9"/>
      <c r="L1035" s="9"/>
      <c r="M1035" s="9"/>
      <c r="N1035" s="9">
        <f t="shared" si="7"/>
        <v>3.940834518</v>
      </c>
      <c r="O1035" s="10">
        <f t="shared" si="8"/>
        <v>52.93594712</v>
      </c>
      <c r="P1035" s="9">
        <v>7.0</v>
      </c>
      <c r="Q1035" s="11" t="str">
        <f t="shared" si="9"/>
        <v>cobertura correcta</v>
      </c>
      <c r="R1035" s="12"/>
      <c r="S1035" s="8"/>
      <c r="T1035" s="12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5" t="s">
        <v>1982</v>
      </c>
      <c r="B1036" s="6" t="s">
        <v>1983</v>
      </c>
      <c r="C1036" s="6">
        <f t="shared" si="1"/>
        <v>6785</v>
      </c>
      <c r="D1036" s="6">
        <f t="shared" si="62"/>
        <v>147</v>
      </c>
      <c r="E1036" s="7">
        <v>0.0</v>
      </c>
      <c r="F1036" s="8"/>
      <c r="G1036" s="6">
        <f t="shared" si="3"/>
        <v>4434</v>
      </c>
      <c r="H1036" s="6">
        <f t="shared" si="4"/>
        <v>10261</v>
      </c>
      <c r="I1036" s="6">
        <f t="shared" si="5"/>
        <v>28034</v>
      </c>
      <c r="J1036" s="6">
        <f t="shared" si="6"/>
        <v>40903</v>
      </c>
      <c r="K1036" s="9"/>
      <c r="L1036" s="9"/>
      <c r="M1036" s="9"/>
      <c r="N1036" s="9">
        <f t="shared" si="7"/>
        <v>6.028445099</v>
      </c>
      <c r="O1036" s="10">
        <f t="shared" si="8"/>
        <v>45.90663058</v>
      </c>
      <c r="P1036" s="9">
        <v>20.0</v>
      </c>
      <c r="Q1036" s="11" t="str">
        <f t="shared" si="9"/>
        <v>cobertura correcta</v>
      </c>
      <c r="R1036" s="12"/>
      <c r="S1036" s="8"/>
      <c r="T1036" s="12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5" t="s">
        <v>1984</v>
      </c>
      <c r="B1037" s="6" t="s">
        <v>1985</v>
      </c>
      <c r="C1037" s="6">
        <f t="shared" si="1"/>
        <v>2582</v>
      </c>
      <c r="D1037" s="6">
        <f t="shared" si="62"/>
        <v>17</v>
      </c>
      <c r="E1037" s="7">
        <v>0.0</v>
      </c>
      <c r="F1037" s="8"/>
      <c r="G1037" s="6">
        <f t="shared" si="3"/>
        <v>1323</v>
      </c>
      <c r="H1037" s="6">
        <f t="shared" si="4"/>
        <v>9899</v>
      </c>
      <c r="I1037" s="6">
        <f t="shared" si="5"/>
        <v>24844</v>
      </c>
      <c r="J1037" s="6">
        <f t="shared" si="6"/>
        <v>96526</v>
      </c>
      <c r="K1037" s="9"/>
      <c r="L1037" s="9"/>
      <c r="M1037" s="9"/>
      <c r="N1037" s="9">
        <f t="shared" si="7"/>
        <v>37.3841983</v>
      </c>
      <c r="O1037" s="10">
        <f t="shared" si="8"/>
        <v>58.54875283</v>
      </c>
      <c r="P1037" s="9">
        <v>7.0</v>
      </c>
      <c r="Q1037" s="11" t="str">
        <f t="shared" si="9"/>
        <v>cobertura correcta</v>
      </c>
      <c r="R1037" s="12"/>
      <c r="S1037" s="8"/>
      <c r="T1037" s="12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5.75" customHeight="1">
      <c r="A1038" s="5" t="s">
        <v>1986</v>
      </c>
      <c r="B1038" s="6" t="s">
        <v>1987</v>
      </c>
      <c r="C1038" s="6">
        <f t="shared" si="1"/>
        <v>3302</v>
      </c>
      <c r="D1038" s="6">
        <f t="shared" si="62"/>
        <v>169</v>
      </c>
      <c r="E1038" s="7">
        <v>0.0</v>
      </c>
      <c r="F1038" s="8"/>
      <c r="G1038" s="6">
        <f t="shared" si="3"/>
        <v>7615</v>
      </c>
      <c r="H1038" s="6">
        <f t="shared" si="4"/>
        <v>14675</v>
      </c>
      <c r="I1038" s="6">
        <f t="shared" si="5"/>
        <v>27937</v>
      </c>
      <c r="J1038" s="6">
        <f t="shared" si="6"/>
        <v>46243</v>
      </c>
      <c r="K1038" s="9"/>
      <c r="L1038" s="9"/>
      <c r="M1038" s="9"/>
      <c r="N1038" s="9">
        <f t="shared" si="7"/>
        <v>14.0045427</v>
      </c>
      <c r="O1038" s="10">
        <f t="shared" si="8"/>
        <v>13.00853578</v>
      </c>
      <c r="P1038" s="9">
        <v>7.0</v>
      </c>
      <c r="Q1038" s="11" t="str">
        <f t="shared" si="9"/>
        <v>cobertura correcta</v>
      </c>
      <c r="R1038" s="12"/>
      <c r="S1038" s="8"/>
      <c r="T1038" s="12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5.75" customHeight="1">
      <c r="A1039" s="5" t="s">
        <v>1988</v>
      </c>
      <c r="B1039" s="6" t="s">
        <v>1989</v>
      </c>
      <c r="C1039" s="6">
        <f t="shared" si="1"/>
        <v>8216</v>
      </c>
      <c r="D1039" s="6">
        <f t="shared" si="62"/>
        <v>13</v>
      </c>
      <c r="E1039" s="7">
        <v>0.0</v>
      </c>
      <c r="F1039" s="8"/>
      <c r="G1039" s="6">
        <f t="shared" si="3"/>
        <v>5732</v>
      </c>
      <c r="H1039" s="6">
        <f t="shared" si="4"/>
        <v>14007</v>
      </c>
      <c r="I1039" s="6">
        <f t="shared" si="5"/>
        <v>23147</v>
      </c>
      <c r="J1039" s="6">
        <f t="shared" si="6"/>
        <v>45288</v>
      </c>
      <c r="K1039" s="9"/>
      <c r="L1039" s="9"/>
      <c r="M1039" s="9"/>
      <c r="N1039" s="9">
        <f t="shared" si="7"/>
        <v>5.512171373</v>
      </c>
      <c r="O1039" s="10">
        <f t="shared" si="8"/>
        <v>43.00069784</v>
      </c>
      <c r="P1039" s="9">
        <v>7.0</v>
      </c>
      <c r="Q1039" s="11" t="str">
        <f t="shared" si="9"/>
        <v>cobertura correcta</v>
      </c>
      <c r="R1039" s="12"/>
      <c r="S1039" s="8"/>
      <c r="T1039" s="12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5.75" customHeight="1">
      <c r="A1040" s="5" t="s">
        <v>1990</v>
      </c>
      <c r="B1040" s="6" t="s">
        <v>1991</v>
      </c>
      <c r="C1040" s="6">
        <f t="shared" si="1"/>
        <v>8874</v>
      </c>
      <c r="D1040" s="6">
        <f t="shared" si="62"/>
        <v>174</v>
      </c>
      <c r="E1040" s="7">
        <v>0.0</v>
      </c>
      <c r="F1040" s="8"/>
      <c r="G1040" s="6">
        <f t="shared" si="3"/>
        <v>8522</v>
      </c>
      <c r="H1040" s="6">
        <f t="shared" si="4"/>
        <v>11126</v>
      </c>
      <c r="I1040" s="6">
        <f t="shared" si="5"/>
        <v>27134</v>
      </c>
      <c r="J1040" s="6">
        <f t="shared" si="6"/>
        <v>63898</v>
      </c>
      <c r="K1040" s="9"/>
      <c r="L1040" s="9"/>
      <c r="M1040" s="9"/>
      <c r="N1040" s="9">
        <f t="shared" si="7"/>
        <v>7.200585982</v>
      </c>
      <c r="O1040" s="10">
        <f t="shared" si="8"/>
        <v>31.23914574</v>
      </c>
      <c r="P1040" s="9">
        <v>7.0</v>
      </c>
      <c r="Q1040" s="11" t="str">
        <f t="shared" si="9"/>
        <v>cobertura correcta</v>
      </c>
      <c r="R1040" s="12"/>
      <c r="S1040" s="8"/>
      <c r="T1040" s="12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 ht="15.75" customHeight="1">
      <c r="A1041" s="5" t="s">
        <v>1992</v>
      </c>
      <c r="B1041" s="6" t="s">
        <v>1993</v>
      </c>
      <c r="C1041" s="6">
        <f t="shared" si="1"/>
        <v>7853</v>
      </c>
      <c r="D1041" s="6">
        <f t="shared" si="62"/>
        <v>139</v>
      </c>
      <c r="E1041" s="7">
        <v>0.0</v>
      </c>
      <c r="F1041" s="8"/>
      <c r="G1041" s="6">
        <f t="shared" si="3"/>
        <v>5429</v>
      </c>
      <c r="H1041" s="6">
        <f t="shared" si="4"/>
        <v>9287</v>
      </c>
      <c r="I1041" s="6">
        <f t="shared" si="5"/>
        <v>24938</v>
      </c>
      <c r="J1041" s="6">
        <f t="shared" si="6"/>
        <v>45124</v>
      </c>
      <c r="K1041" s="9"/>
      <c r="L1041" s="9"/>
      <c r="M1041" s="9"/>
      <c r="N1041" s="9">
        <f t="shared" si="7"/>
        <v>5.746084299</v>
      </c>
      <c r="O1041" s="10">
        <f t="shared" si="8"/>
        <v>43.39473199</v>
      </c>
      <c r="P1041" s="9">
        <v>7.0</v>
      </c>
      <c r="Q1041" s="11" t="str">
        <f t="shared" si="9"/>
        <v>cobertura correcta</v>
      </c>
      <c r="R1041" s="12"/>
      <c r="S1041" s="8"/>
      <c r="T1041" s="12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5.75" customHeight="1">
      <c r="A1042" s="5" t="s">
        <v>1994</v>
      </c>
      <c r="B1042" s="6" t="s">
        <v>1995</v>
      </c>
      <c r="C1042" s="6">
        <f t="shared" si="1"/>
        <v>5771</v>
      </c>
      <c r="D1042" s="6">
        <f t="shared" si="62"/>
        <v>102</v>
      </c>
      <c r="E1042" s="7">
        <v>0.0</v>
      </c>
      <c r="F1042" s="8"/>
      <c r="G1042" s="6">
        <f t="shared" si="3"/>
        <v>3464</v>
      </c>
      <c r="H1042" s="6">
        <f t="shared" si="4"/>
        <v>17029</v>
      </c>
      <c r="I1042" s="6">
        <f t="shared" si="5"/>
        <v>21552</v>
      </c>
      <c r="J1042" s="6">
        <f t="shared" si="6"/>
        <v>80686</v>
      </c>
      <c r="K1042" s="9"/>
      <c r="L1042" s="9"/>
      <c r="M1042" s="9"/>
      <c r="N1042" s="9">
        <f t="shared" si="7"/>
        <v>13.98128574</v>
      </c>
      <c r="O1042" s="10">
        <f t="shared" si="8"/>
        <v>49.97979215</v>
      </c>
      <c r="P1042" s="9">
        <v>7.0</v>
      </c>
      <c r="Q1042" s="11" t="str">
        <f t="shared" si="9"/>
        <v>cobertura correcta</v>
      </c>
      <c r="R1042" s="12"/>
      <c r="S1042" s="8"/>
      <c r="T1042" s="12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5" t="s">
        <v>1996</v>
      </c>
      <c r="B1043" s="6" t="s">
        <v>1997</v>
      </c>
      <c r="C1043" s="6">
        <f t="shared" si="1"/>
        <v>7685</v>
      </c>
      <c r="D1043" s="6">
        <f t="shared" si="62"/>
        <v>125</v>
      </c>
      <c r="E1043" s="7">
        <v>0.0</v>
      </c>
      <c r="F1043" s="8"/>
      <c r="G1043" s="6">
        <f t="shared" si="3"/>
        <v>5658</v>
      </c>
      <c r="H1043" s="6">
        <f t="shared" si="4"/>
        <v>17751</v>
      </c>
      <c r="I1043" s="6">
        <f t="shared" si="5"/>
        <v>25127</v>
      </c>
      <c r="J1043" s="6">
        <f t="shared" si="6"/>
        <v>57323</v>
      </c>
      <c r="K1043" s="9"/>
      <c r="L1043" s="9"/>
      <c r="M1043" s="9"/>
      <c r="N1043" s="9">
        <f t="shared" si="7"/>
        <v>7.459076122</v>
      </c>
      <c r="O1043" s="10">
        <f t="shared" si="8"/>
        <v>40.747614</v>
      </c>
      <c r="P1043" s="9">
        <v>30.0</v>
      </c>
      <c r="Q1043" s="11" t="str">
        <f t="shared" si="9"/>
        <v>cobertura correcta</v>
      </c>
      <c r="R1043" s="12"/>
      <c r="S1043" s="8"/>
      <c r="T1043" s="12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5.75" customHeight="1">
      <c r="A1044" s="5" t="s">
        <v>1998</v>
      </c>
      <c r="B1044" s="6" t="s">
        <v>1999</v>
      </c>
      <c r="C1044" s="6">
        <f t="shared" si="1"/>
        <v>2217</v>
      </c>
      <c r="D1044" s="6">
        <f t="shared" si="62"/>
        <v>119</v>
      </c>
      <c r="E1044" s="7">
        <v>0.0</v>
      </c>
      <c r="F1044" s="8"/>
      <c r="G1044" s="6">
        <f t="shared" si="3"/>
        <v>3857</v>
      </c>
      <c r="H1044" s="6">
        <f t="shared" si="4"/>
        <v>10569</v>
      </c>
      <c r="I1044" s="6">
        <f t="shared" si="5"/>
        <v>20820</v>
      </c>
      <c r="J1044" s="6">
        <f t="shared" si="6"/>
        <v>93707</v>
      </c>
      <c r="K1044" s="9"/>
      <c r="L1044" s="9"/>
      <c r="M1044" s="9"/>
      <c r="N1044" s="9">
        <f t="shared" si="7"/>
        <v>42.26747857</v>
      </c>
      <c r="O1044" s="10">
        <f t="shared" si="8"/>
        <v>17.243972</v>
      </c>
      <c r="P1044" s="9">
        <v>7.0</v>
      </c>
      <c r="Q1044" s="11" t="str">
        <f t="shared" si="9"/>
        <v>cobertura correcta</v>
      </c>
      <c r="R1044" s="12"/>
      <c r="S1044" s="8"/>
      <c r="T1044" s="12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A1045" s="5" t="s">
        <v>2000</v>
      </c>
      <c r="B1045" s="6" t="s">
        <v>2001</v>
      </c>
      <c r="C1045" s="6">
        <f t="shared" si="1"/>
        <v>2319</v>
      </c>
      <c r="D1045" s="6">
        <f t="shared" si="62"/>
        <v>193</v>
      </c>
      <c r="E1045" s="7">
        <v>0.0</v>
      </c>
      <c r="F1045" s="8"/>
      <c r="G1045" s="6">
        <f t="shared" si="3"/>
        <v>5222</v>
      </c>
      <c r="H1045" s="6">
        <f t="shared" si="4"/>
        <v>17898</v>
      </c>
      <c r="I1045" s="6">
        <f t="shared" si="5"/>
        <v>19389</v>
      </c>
      <c r="J1045" s="6">
        <f t="shared" si="6"/>
        <v>90873</v>
      </c>
      <c r="K1045" s="9"/>
      <c r="L1045" s="9"/>
      <c r="M1045" s="9"/>
      <c r="N1045" s="9">
        <f t="shared" si="7"/>
        <v>39.18628719</v>
      </c>
      <c r="O1045" s="10">
        <f t="shared" si="8"/>
        <v>13.32248181</v>
      </c>
      <c r="P1045" s="9">
        <v>7.0</v>
      </c>
      <c r="Q1045" s="11" t="str">
        <f t="shared" si="9"/>
        <v>cobertura correcta</v>
      </c>
      <c r="R1045" s="12"/>
      <c r="S1045" s="8"/>
      <c r="T1045" s="12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5.75" customHeight="1">
      <c r="A1046" s="5" t="s">
        <v>2002</v>
      </c>
      <c r="B1046" s="6" t="s">
        <v>2003</v>
      </c>
      <c r="C1046" s="6">
        <f t="shared" si="1"/>
        <v>6581</v>
      </c>
      <c r="D1046" s="6">
        <f t="shared" si="62"/>
        <v>33</v>
      </c>
      <c r="E1046" s="7">
        <v>0.0</v>
      </c>
      <c r="F1046" s="8"/>
      <c r="G1046" s="6">
        <f t="shared" si="3"/>
        <v>6342</v>
      </c>
      <c r="H1046" s="6">
        <f t="shared" si="4"/>
        <v>18721</v>
      </c>
      <c r="I1046" s="6">
        <f t="shared" si="5"/>
        <v>25249</v>
      </c>
      <c r="J1046" s="6">
        <f t="shared" si="6"/>
        <v>40705</v>
      </c>
      <c r="K1046" s="9"/>
      <c r="L1046" s="9"/>
      <c r="M1046" s="9"/>
      <c r="N1046" s="9">
        <f t="shared" si="7"/>
        <v>6.185230208</v>
      </c>
      <c r="O1046" s="10">
        <f t="shared" si="8"/>
        <v>31.13055818</v>
      </c>
      <c r="P1046" s="9">
        <v>15.0</v>
      </c>
      <c r="Q1046" s="11" t="str">
        <f t="shared" si="9"/>
        <v>cobertura correcta</v>
      </c>
      <c r="R1046" s="12"/>
      <c r="S1046" s="8"/>
      <c r="T1046" s="12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 ht="15.75" customHeight="1">
      <c r="A1047" s="5" t="s">
        <v>2004</v>
      </c>
      <c r="B1047" s="6" t="s">
        <v>2005</v>
      </c>
      <c r="C1047" s="6">
        <f t="shared" si="1"/>
        <v>2488</v>
      </c>
      <c r="D1047" s="6">
        <f t="shared" si="62"/>
        <v>137</v>
      </c>
      <c r="E1047" s="7">
        <v>0.0</v>
      </c>
      <c r="F1047" s="8"/>
      <c r="G1047" s="6">
        <f t="shared" si="3"/>
        <v>3626</v>
      </c>
      <c r="H1047" s="6">
        <f t="shared" si="4"/>
        <v>10572</v>
      </c>
      <c r="I1047" s="6">
        <f t="shared" si="5"/>
        <v>25942</v>
      </c>
      <c r="J1047" s="6">
        <f t="shared" si="6"/>
        <v>79281</v>
      </c>
      <c r="K1047" s="9"/>
      <c r="L1047" s="9"/>
      <c r="M1047" s="9"/>
      <c r="N1047" s="9">
        <f t="shared" si="7"/>
        <v>31.8653537</v>
      </c>
      <c r="O1047" s="10">
        <f t="shared" si="8"/>
        <v>20.5846663</v>
      </c>
      <c r="P1047" s="9">
        <v>7.0</v>
      </c>
      <c r="Q1047" s="11" t="str">
        <f t="shared" si="9"/>
        <v>cobertura correcta</v>
      </c>
      <c r="R1047" s="12"/>
      <c r="S1047" s="8"/>
      <c r="T1047" s="12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5.75" customHeight="1">
      <c r="A1048" s="5" t="s">
        <v>2006</v>
      </c>
      <c r="B1048" s="6" t="s">
        <v>2007</v>
      </c>
      <c r="C1048" s="6">
        <f t="shared" si="1"/>
        <v>5986</v>
      </c>
      <c r="D1048" s="6">
        <f t="shared" si="62"/>
        <v>102</v>
      </c>
      <c r="E1048" s="7">
        <v>0.0</v>
      </c>
      <c r="F1048" s="8"/>
      <c r="G1048" s="6">
        <f t="shared" si="3"/>
        <v>7495</v>
      </c>
      <c r="H1048" s="6">
        <f t="shared" si="4"/>
        <v>17708</v>
      </c>
      <c r="I1048" s="6">
        <f t="shared" si="5"/>
        <v>22491</v>
      </c>
      <c r="J1048" s="6">
        <f t="shared" si="6"/>
        <v>76769</v>
      </c>
      <c r="K1048" s="9"/>
      <c r="L1048" s="9"/>
      <c r="M1048" s="9"/>
      <c r="N1048" s="9">
        <f t="shared" si="7"/>
        <v>12.82475777</v>
      </c>
      <c r="O1048" s="10">
        <f t="shared" si="8"/>
        <v>23.95997332</v>
      </c>
      <c r="P1048" s="9">
        <v>7.0</v>
      </c>
      <c r="Q1048" s="11" t="str">
        <f t="shared" si="9"/>
        <v>cobertura correcta</v>
      </c>
      <c r="R1048" s="12"/>
      <c r="S1048" s="8"/>
      <c r="T1048" s="12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5" t="s">
        <v>2008</v>
      </c>
      <c r="B1049" s="6" t="s">
        <v>2009</v>
      </c>
      <c r="C1049" s="6">
        <f t="shared" si="1"/>
        <v>1796</v>
      </c>
      <c r="D1049" s="6">
        <f t="shared" si="62"/>
        <v>29</v>
      </c>
      <c r="E1049" s="7">
        <v>0.0</v>
      </c>
      <c r="F1049" s="8"/>
      <c r="G1049" s="6">
        <f t="shared" si="3"/>
        <v>4956</v>
      </c>
      <c r="H1049" s="6">
        <f t="shared" si="4"/>
        <v>16167</v>
      </c>
      <c r="I1049" s="6">
        <f t="shared" si="5"/>
        <v>26381</v>
      </c>
      <c r="J1049" s="6">
        <f t="shared" si="6"/>
        <v>58781</v>
      </c>
      <c r="K1049" s="9"/>
      <c r="L1049" s="9"/>
      <c r="M1049" s="9"/>
      <c r="N1049" s="9">
        <f t="shared" si="7"/>
        <v>32.72884187</v>
      </c>
      <c r="O1049" s="10">
        <f t="shared" si="8"/>
        <v>10.8716707</v>
      </c>
      <c r="P1049" s="9">
        <v>7.0</v>
      </c>
      <c r="Q1049" s="11" t="str">
        <f t="shared" si="9"/>
        <v>cobertura correcta</v>
      </c>
      <c r="R1049" s="12"/>
      <c r="S1049" s="8"/>
      <c r="T1049" s="12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5" t="s">
        <v>2010</v>
      </c>
      <c r="B1050" s="6" t="s">
        <v>2011</v>
      </c>
      <c r="C1050" s="6">
        <f t="shared" si="1"/>
        <v>3440</v>
      </c>
      <c r="D1050" s="6">
        <f t="shared" si="62"/>
        <v>35</v>
      </c>
      <c r="E1050" s="7">
        <v>0.0</v>
      </c>
      <c r="F1050" s="8"/>
      <c r="G1050" s="6">
        <f t="shared" si="3"/>
        <v>2898</v>
      </c>
      <c r="H1050" s="6">
        <f t="shared" si="4"/>
        <v>15487</v>
      </c>
      <c r="I1050" s="6">
        <f t="shared" si="5"/>
        <v>22956</v>
      </c>
      <c r="J1050" s="6">
        <f t="shared" si="6"/>
        <v>97245</v>
      </c>
      <c r="K1050" s="9"/>
      <c r="L1050" s="9"/>
      <c r="M1050" s="9"/>
      <c r="N1050" s="9">
        <f t="shared" si="7"/>
        <v>28.26889535</v>
      </c>
      <c r="O1050" s="10">
        <f t="shared" si="8"/>
        <v>35.61076605</v>
      </c>
      <c r="P1050" s="9">
        <v>7.0</v>
      </c>
      <c r="Q1050" s="11" t="str">
        <f t="shared" si="9"/>
        <v>cobertura correcta</v>
      </c>
      <c r="R1050" s="12"/>
      <c r="S1050" s="8"/>
      <c r="T1050" s="12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5.75" customHeight="1">
      <c r="A1051" s="5" t="s">
        <v>2012</v>
      </c>
      <c r="B1051" s="6"/>
      <c r="C1051" s="6">
        <f t="shared" si="1"/>
        <v>7517</v>
      </c>
      <c r="D1051" s="6">
        <f t="shared" si="62"/>
        <v>88</v>
      </c>
      <c r="E1051" s="7">
        <v>0.0</v>
      </c>
      <c r="F1051" s="8"/>
      <c r="G1051" s="6">
        <f t="shared" si="3"/>
        <v>8736</v>
      </c>
      <c r="H1051" s="6">
        <f t="shared" si="4"/>
        <v>12717</v>
      </c>
      <c r="I1051" s="6">
        <f t="shared" si="5"/>
        <v>25752</v>
      </c>
      <c r="J1051" s="6">
        <f t="shared" si="6"/>
        <v>80157</v>
      </c>
      <c r="K1051" s="9"/>
      <c r="L1051" s="9"/>
      <c r="M1051" s="9"/>
      <c r="N1051" s="9">
        <f t="shared" si="7"/>
        <v>10.66342956</v>
      </c>
      <c r="O1051" s="10">
        <f t="shared" si="8"/>
        <v>25.81387363</v>
      </c>
      <c r="P1051" s="9">
        <v>7.0</v>
      </c>
      <c r="Q1051" s="11" t="str">
        <f t="shared" si="9"/>
        <v>cobertura correcta</v>
      </c>
      <c r="R1051" s="12"/>
      <c r="S1051" s="8"/>
      <c r="T1051" s="12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5.75" customHeight="1">
      <c r="A1052" s="5" t="s">
        <v>2013</v>
      </c>
      <c r="B1052" s="6"/>
      <c r="C1052" s="6">
        <f t="shared" si="1"/>
        <v>5405</v>
      </c>
      <c r="D1052" s="6">
        <f t="shared" si="62"/>
        <v>46</v>
      </c>
      <c r="E1052" s="7">
        <v>0.0</v>
      </c>
      <c r="F1052" s="8"/>
      <c r="G1052" s="6">
        <f t="shared" si="3"/>
        <v>2762</v>
      </c>
      <c r="H1052" s="6">
        <f t="shared" si="4"/>
        <v>12138</v>
      </c>
      <c r="I1052" s="6">
        <f t="shared" si="5"/>
        <v>28733</v>
      </c>
      <c r="J1052" s="6">
        <f t="shared" si="6"/>
        <v>54602</v>
      </c>
      <c r="K1052" s="9"/>
      <c r="L1052" s="9"/>
      <c r="M1052" s="9"/>
      <c r="N1052" s="9">
        <f t="shared" si="7"/>
        <v>10.10212766</v>
      </c>
      <c r="O1052" s="10">
        <f t="shared" si="8"/>
        <v>58.70745836</v>
      </c>
      <c r="P1052" s="9">
        <v>7.0</v>
      </c>
      <c r="Q1052" s="11" t="str">
        <f t="shared" si="9"/>
        <v>cobertura correcta</v>
      </c>
      <c r="R1052" s="12"/>
      <c r="S1052" s="8"/>
      <c r="T1052" s="12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 ht="15.75" customHeight="1">
      <c r="A1053" s="5" t="s">
        <v>2014</v>
      </c>
      <c r="B1053" s="6"/>
      <c r="C1053" s="6">
        <f t="shared" si="1"/>
        <v>3428</v>
      </c>
      <c r="D1053" s="6">
        <f t="shared" si="62"/>
        <v>164</v>
      </c>
      <c r="E1053" s="7">
        <v>0.0</v>
      </c>
      <c r="F1053" s="8"/>
      <c r="G1053" s="6">
        <f t="shared" si="3"/>
        <v>2836</v>
      </c>
      <c r="H1053" s="6">
        <f t="shared" si="4"/>
        <v>16070</v>
      </c>
      <c r="I1053" s="6">
        <f t="shared" si="5"/>
        <v>23009</v>
      </c>
      <c r="J1053" s="6">
        <f t="shared" si="6"/>
        <v>92950</v>
      </c>
      <c r="K1053" s="9"/>
      <c r="L1053" s="9"/>
      <c r="M1053" s="9"/>
      <c r="N1053" s="9">
        <f t="shared" si="7"/>
        <v>27.11493582</v>
      </c>
      <c r="O1053" s="10">
        <f t="shared" si="8"/>
        <v>36.26234133</v>
      </c>
      <c r="P1053" s="9">
        <v>15.0</v>
      </c>
      <c r="Q1053" s="11" t="str">
        <f t="shared" si="9"/>
        <v>cobertura correcta</v>
      </c>
      <c r="R1053" s="12"/>
      <c r="S1053" s="8"/>
      <c r="T1053" s="12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5.75" customHeight="1">
      <c r="A1054" s="5" t="s">
        <v>2015</v>
      </c>
      <c r="B1054" s="6"/>
      <c r="C1054" s="6">
        <f t="shared" si="1"/>
        <v>7297</v>
      </c>
      <c r="D1054" s="6">
        <f t="shared" si="62"/>
        <v>166</v>
      </c>
      <c r="E1054" s="7">
        <v>0.0</v>
      </c>
      <c r="F1054" s="8"/>
      <c r="G1054" s="6">
        <f t="shared" si="3"/>
        <v>7007</v>
      </c>
      <c r="H1054" s="6">
        <f t="shared" si="4"/>
        <v>15300</v>
      </c>
      <c r="I1054" s="6">
        <f t="shared" si="5"/>
        <v>22073</v>
      </c>
      <c r="J1054" s="6">
        <f t="shared" si="6"/>
        <v>41851</v>
      </c>
      <c r="K1054" s="9"/>
      <c r="L1054" s="9"/>
      <c r="M1054" s="9"/>
      <c r="N1054" s="9">
        <f t="shared" si="7"/>
        <v>5.7353707</v>
      </c>
      <c r="O1054" s="10">
        <f t="shared" si="8"/>
        <v>31.24161553</v>
      </c>
      <c r="P1054" s="9">
        <v>15.0</v>
      </c>
      <c r="Q1054" s="11" t="str">
        <f t="shared" si="9"/>
        <v>cobertura correcta</v>
      </c>
      <c r="R1054" s="12"/>
      <c r="S1054" s="8"/>
      <c r="T1054" s="12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5.75" customHeight="1">
      <c r="A1055" s="5" t="s">
        <v>2016</v>
      </c>
      <c r="B1055" s="6" t="s">
        <v>2017</v>
      </c>
      <c r="C1055" s="6">
        <f t="shared" si="1"/>
        <v>3591</v>
      </c>
      <c r="D1055" s="6">
        <f t="shared" si="62"/>
        <v>8</v>
      </c>
      <c r="E1055" s="7">
        <v>0.0</v>
      </c>
      <c r="F1055" s="8"/>
      <c r="G1055" s="6">
        <f t="shared" si="3"/>
        <v>3507</v>
      </c>
      <c r="H1055" s="6">
        <f t="shared" si="4"/>
        <v>15770</v>
      </c>
      <c r="I1055" s="6">
        <f t="shared" si="5"/>
        <v>25658</v>
      </c>
      <c r="J1055" s="6">
        <f t="shared" si="6"/>
        <v>78806</v>
      </c>
      <c r="K1055" s="9"/>
      <c r="L1055" s="9"/>
      <c r="M1055" s="9"/>
      <c r="N1055" s="9">
        <f t="shared" si="7"/>
        <v>21.9454191</v>
      </c>
      <c r="O1055" s="10">
        <f t="shared" si="8"/>
        <v>30.71856287</v>
      </c>
      <c r="P1055" s="9">
        <v>15.0</v>
      </c>
      <c r="Q1055" s="11" t="str">
        <f t="shared" si="9"/>
        <v>cobertura correcta</v>
      </c>
      <c r="R1055" s="12"/>
      <c r="S1055" s="8"/>
      <c r="T1055" s="12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5.75" customHeight="1">
      <c r="A1056" s="5" t="s">
        <v>2018</v>
      </c>
      <c r="B1056" s="6" t="s">
        <v>2019</v>
      </c>
      <c r="C1056" s="6">
        <f t="shared" si="1"/>
        <v>5440</v>
      </c>
      <c r="D1056" s="6">
        <f t="shared" si="62"/>
        <v>21</v>
      </c>
      <c r="E1056" s="7">
        <v>0.0</v>
      </c>
      <c r="F1056" s="8"/>
      <c r="G1056" s="6">
        <f t="shared" si="3"/>
        <v>8867</v>
      </c>
      <c r="H1056" s="6">
        <f t="shared" si="4"/>
        <v>16322</v>
      </c>
      <c r="I1056" s="6">
        <f t="shared" si="5"/>
        <v>22755</v>
      </c>
      <c r="J1056" s="6">
        <f t="shared" si="6"/>
        <v>93834</v>
      </c>
      <c r="K1056" s="9"/>
      <c r="L1056" s="9"/>
      <c r="M1056" s="9"/>
      <c r="N1056" s="9">
        <f t="shared" si="7"/>
        <v>17.24889706</v>
      </c>
      <c r="O1056" s="10">
        <f t="shared" si="8"/>
        <v>18.40532311</v>
      </c>
      <c r="P1056" s="9">
        <v>15.0</v>
      </c>
      <c r="Q1056" s="11" t="str">
        <f t="shared" si="9"/>
        <v>cobertura correcta</v>
      </c>
      <c r="R1056" s="12"/>
      <c r="S1056" s="8"/>
      <c r="T1056" s="12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5.75" customHeight="1">
      <c r="A1057" s="5" t="s">
        <v>2020</v>
      </c>
      <c r="B1057" s="6" t="s">
        <v>2021</v>
      </c>
      <c r="C1057" s="6">
        <f t="shared" si="1"/>
        <v>7509</v>
      </c>
      <c r="D1057" s="6">
        <f t="shared" si="62"/>
        <v>162</v>
      </c>
      <c r="E1057" s="7">
        <v>0.0</v>
      </c>
      <c r="F1057" s="8"/>
      <c r="G1057" s="6">
        <f t="shared" si="3"/>
        <v>2599</v>
      </c>
      <c r="H1057" s="6">
        <f t="shared" si="4"/>
        <v>9860</v>
      </c>
      <c r="I1057" s="6">
        <f t="shared" si="5"/>
        <v>27407</v>
      </c>
      <c r="J1057" s="6">
        <f t="shared" si="6"/>
        <v>77374</v>
      </c>
      <c r="K1057" s="9"/>
      <c r="L1057" s="9"/>
      <c r="M1057" s="9"/>
      <c r="N1057" s="9">
        <f t="shared" si="7"/>
        <v>10.30416833</v>
      </c>
      <c r="O1057" s="10">
        <f t="shared" si="8"/>
        <v>86.67564448</v>
      </c>
      <c r="P1057" s="9">
        <v>30.0</v>
      </c>
      <c r="Q1057" s="11" t="str">
        <f t="shared" si="9"/>
        <v>cobertura correcta</v>
      </c>
      <c r="R1057" s="12"/>
      <c r="S1057" s="8"/>
      <c r="T1057" s="12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5.75" customHeight="1">
      <c r="A1058" s="5" t="s">
        <v>2022</v>
      </c>
      <c r="B1058" s="6" t="s">
        <v>2023</v>
      </c>
      <c r="C1058" s="6">
        <f t="shared" si="1"/>
        <v>2692</v>
      </c>
      <c r="D1058" s="6">
        <f t="shared" si="62"/>
        <v>156</v>
      </c>
      <c r="E1058" s="7">
        <v>0.0</v>
      </c>
      <c r="F1058" s="8"/>
      <c r="G1058" s="6">
        <f t="shared" si="3"/>
        <v>2293</v>
      </c>
      <c r="H1058" s="6">
        <f t="shared" si="4"/>
        <v>16752</v>
      </c>
      <c r="I1058" s="6">
        <f t="shared" si="5"/>
        <v>27642</v>
      </c>
      <c r="J1058" s="6">
        <f t="shared" si="6"/>
        <v>74690</v>
      </c>
      <c r="K1058" s="9"/>
      <c r="L1058" s="9"/>
      <c r="M1058" s="9"/>
      <c r="N1058" s="9">
        <f t="shared" si="7"/>
        <v>27.74517088</v>
      </c>
      <c r="O1058" s="10">
        <f t="shared" si="8"/>
        <v>35.2202355</v>
      </c>
      <c r="P1058" s="9">
        <v>15.0</v>
      </c>
      <c r="Q1058" s="11" t="str">
        <f t="shared" si="9"/>
        <v>cobertura correcta</v>
      </c>
      <c r="R1058" s="12"/>
      <c r="S1058" s="8"/>
      <c r="T1058" s="12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 ht="15.75" customHeight="1">
      <c r="A1059" s="5" t="s">
        <v>2024</v>
      </c>
      <c r="B1059" s="6" t="s">
        <v>2025</v>
      </c>
      <c r="C1059" s="6">
        <f t="shared" si="1"/>
        <v>5597</v>
      </c>
      <c r="D1059" s="6">
        <f t="shared" si="62"/>
        <v>6</v>
      </c>
      <c r="E1059" s="7">
        <v>0.0</v>
      </c>
      <c r="F1059" s="8"/>
      <c r="G1059" s="6">
        <f t="shared" si="3"/>
        <v>6247</v>
      </c>
      <c r="H1059" s="6">
        <f t="shared" si="4"/>
        <v>11615</v>
      </c>
      <c r="I1059" s="6">
        <f t="shared" si="5"/>
        <v>19514</v>
      </c>
      <c r="J1059" s="6">
        <f t="shared" si="6"/>
        <v>77265</v>
      </c>
      <c r="K1059" s="9"/>
      <c r="L1059" s="9"/>
      <c r="M1059" s="9"/>
      <c r="N1059" s="9">
        <f t="shared" si="7"/>
        <v>13.80471681</v>
      </c>
      <c r="O1059" s="10">
        <f t="shared" si="8"/>
        <v>26.87850168</v>
      </c>
      <c r="P1059" s="9">
        <v>15.0</v>
      </c>
      <c r="Q1059" s="11" t="str">
        <f t="shared" si="9"/>
        <v>cobertura correcta</v>
      </c>
      <c r="R1059" s="12"/>
      <c r="S1059" s="8"/>
      <c r="T1059" s="12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5.75" customHeight="1">
      <c r="A1060" s="5" t="s">
        <v>2026</v>
      </c>
      <c r="B1060" s="6" t="s">
        <v>2027</v>
      </c>
      <c r="C1060" s="6">
        <f t="shared" si="1"/>
        <v>6348</v>
      </c>
      <c r="D1060" s="6">
        <f t="shared" si="62"/>
        <v>199</v>
      </c>
      <c r="E1060" s="7">
        <v>0.0</v>
      </c>
      <c r="F1060" s="8"/>
      <c r="G1060" s="6">
        <f t="shared" si="3"/>
        <v>5169</v>
      </c>
      <c r="H1060" s="6">
        <f t="shared" si="4"/>
        <v>10660</v>
      </c>
      <c r="I1060" s="6">
        <f t="shared" si="5"/>
        <v>23401</v>
      </c>
      <c r="J1060" s="6">
        <f t="shared" si="6"/>
        <v>35175</v>
      </c>
      <c r="K1060" s="9"/>
      <c r="L1060" s="9"/>
      <c r="M1060" s="9"/>
      <c r="N1060" s="9">
        <f t="shared" si="7"/>
        <v>5.541115312</v>
      </c>
      <c r="O1060" s="10">
        <f t="shared" si="8"/>
        <v>36.84271619</v>
      </c>
      <c r="P1060" s="9">
        <v>15.0</v>
      </c>
      <c r="Q1060" s="11" t="str">
        <f t="shared" si="9"/>
        <v>cobertura correcta</v>
      </c>
      <c r="R1060" s="12"/>
      <c r="S1060" s="8"/>
      <c r="T1060" s="12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5" t="s">
        <v>2028</v>
      </c>
      <c r="B1061" s="6" t="s">
        <v>2029</v>
      </c>
      <c r="C1061" s="6">
        <f t="shared" si="1"/>
        <v>3360</v>
      </c>
      <c r="D1061" s="6">
        <f t="shared" si="62"/>
        <v>54</v>
      </c>
      <c r="E1061" s="7">
        <v>0.0</v>
      </c>
      <c r="F1061" s="8"/>
      <c r="G1061" s="6">
        <f t="shared" si="3"/>
        <v>5601</v>
      </c>
      <c r="H1061" s="6">
        <f t="shared" si="4"/>
        <v>14133</v>
      </c>
      <c r="I1061" s="6">
        <f t="shared" si="5"/>
        <v>25187</v>
      </c>
      <c r="J1061" s="6">
        <f t="shared" si="6"/>
        <v>94298</v>
      </c>
      <c r="K1061" s="9"/>
      <c r="L1061" s="9"/>
      <c r="M1061" s="9"/>
      <c r="N1061" s="9">
        <f t="shared" si="7"/>
        <v>28.06488095</v>
      </c>
      <c r="O1061" s="10">
        <f t="shared" si="8"/>
        <v>17.99678629</v>
      </c>
      <c r="P1061" s="9">
        <v>15.0</v>
      </c>
      <c r="Q1061" s="11" t="str">
        <f t="shared" si="9"/>
        <v>cobertura correcta</v>
      </c>
      <c r="R1061" s="12"/>
      <c r="S1061" s="8"/>
      <c r="T1061" s="12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5" t="s">
        <v>2030</v>
      </c>
      <c r="B1062" s="6" t="s">
        <v>2031</v>
      </c>
      <c r="C1062" s="6">
        <f t="shared" si="1"/>
        <v>8455</v>
      </c>
      <c r="D1062" s="6">
        <f t="shared" si="62"/>
        <v>111</v>
      </c>
      <c r="E1062" s="7">
        <v>0.0</v>
      </c>
      <c r="F1062" s="8"/>
      <c r="G1062" s="6">
        <f t="shared" si="3"/>
        <v>7530</v>
      </c>
      <c r="H1062" s="6">
        <f t="shared" si="4"/>
        <v>13338</v>
      </c>
      <c r="I1062" s="6">
        <f t="shared" si="5"/>
        <v>24908</v>
      </c>
      <c r="J1062" s="6">
        <f t="shared" si="6"/>
        <v>30119</v>
      </c>
      <c r="K1062" s="9"/>
      <c r="L1062" s="9"/>
      <c r="M1062" s="9"/>
      <c r="N1062" s="9">
        <f t="shared" si="7"/>
        <v>3.562270846</v>
      </c>
      <c r="O1062" s="10">
        <f t="shared" si="8"/>
        <v>33.68525896</v>
      </c>
      <c r="P1062" s="9">
        <v>7.0</v>
      </c>
      <c r="Q1062" s="11" t="str">
        <f t="shared" si="9"/>
        <v>cobertura correcta</v>
      </c>
      <c r="R1062" s="12"/>
      <c r="S1062" s="8"/>
      <c r="T1062" s="12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5" t="s">
        <v>2032</v>
      </c>
      <c r="B1063" s="6" t="s">
        <v>2033</v>
      </c>
      <c r="C1063" s="6">
        <f t="shared" si="1"/>
        <v>4675</v>
      </c>
      <c r="D1063" s="6">
        <f t="shared" si="62"/>
        <v>47</v>
      </c>
      <c r="E1063" s="7">
        <v>0.0</v>
      </c>
      <c r="F1063" s="8"/>
      <c r="G1063" s="6">
        <f t="shared" si="3"/>
        <v>8223</v>
      </c>
      <c r="H1063" s="6">
        <f t="shared" si="4"/>
        <v>9532</v>
      </c>
      <c r="I1063" s="6">
        <f t="shared" si="5"/>
        <v>20185</v>
      </c>
      <c r="J1063" s="6">
        <f t="shared" si="6"/>
        <v>79283</v>
      </c>
      <c r="K1063" s="9"/>
      <c r="L1063" s="9"/>
      <c r="M1063" s="9"/>
      <c r="N1063" s="9">
        <f t="shared" si="7"/>
        <v>16.95893048</v>
      </c>
      <c r="O1063" s="10">
        <f t="shared" si="8"/>
        <v>17.05581904</v>
      </c>
      <c r="P1063" s="9">
        <v>7.0</v>
      </c>
      <c r="Q1063" s="11" t="str">
        <f t="shared" si="9"/>
        <v>cobertura correcta</v>
      </c>
      <c r="R1063" s="12"/>
      <c r="S1063" s="8"/>
      <c r="T1063" s="12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5" t="s">
        <v>2034</v>
      </c>
      <c r="B1064" s="6" t="s">
        <v>2035</v>
      </c>
      <c r="C1064" s="6">
        <f t="shared" si="1"/>
        <v>4572</v>
      </c>
      <c r="D1064" s="6">
        <f t="shared" si="62"/>
        <v>74</v>
      </c>
      <c r="E1064" s="7">
        <v>0.0</v>
      </c>
      <c r="F1064" s="8"/>
      <c r="G1064" s="6">
        <f t="shared" si="3"/>
        <v>7195</v>
      </c>
      <c r="H1064" s="6">
        <f t="shared" si="4"/>
        <v>11569</v>
      </c>
      <c r="I1064" s="6">
        <f t="shared" si="5"/>
        <v>26886</v>
      </c>
      <c r="J1064" s="6">
        <f t="shared" si="6"/>
        <v>77875</v>
      </c>
      <c r="K1064" s="9"/>
      <c r="L1064" s="9"/>
      <c r="M1064" s="9"/>
      <c r="N1064" s="9">
        <f t="shared" si="7"/>
        <v>17.03302712</v>
      </c>
      <c r="O1064" s="10">
        <f t="shared" si="8"/>
        <v>19.06323836</v>
      </c>
      <c r="P1064" s="9">
        <v>7.0</v>
      </c>
      <c r="Q1064" s="11" t="str">
        <f t="shared" si="9"/>
        <v>cobertura correcta</v>
      </c>
      <c r="R1064" s="12"/>
      <c r="S1064" s="8"/>
      <c r="T1064" s="12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5.75" customHeight="1">
      <c r="A1065" s="5" t="s">
        <v>2036</v>
      </c>
      <c r="B1065" s="6" t="s">
        <v>2037</v>
      </c>
      <c r="C1065" s="6">
        <f t="shared" si="1"/>
        <v>2358</v>
      </c>
      <c r="D1065" s="6">
        <f t="shared" si="62"/>
        <v>77</v>
      </c>
      <c r="E1065" s="7">
        <v>0.0</v>
      </c>
      <c r="F1065" s="8"/>
      <c r="G1065" s="6">
        <f t="shared" si="3"/>
        <v>4595</v>
      </c>
      <c r="H1065" s="6">
        <f t="shared" si="4"/>
        <v>17554</v>
      </c>
      <c r="I1065" s="6">
        <f t="shared" si="5"/>
        <v>20882</v>
      </c>
      <c r="J1065" s="6">
        <f t="shared" si="6"/>
        <v>87019</v>
      </c>
      <c r="K1065" s="9"/>
      <c r="L1065" s="9"/>
      <c r="M1065" s="9"/>
      <c r="N1065" s="9">
        <f t="shared" si="7"/>
        <v>36.90373198</v>
      </c>
      <c r="O1065" s="10">
        <f t="shared" si="8"/>
        <v>15.39499456</v>
      </c>
      <c r="P1065" s="9">
        <v>7.0</v>
      </c>
      <c r="Q1065" s="11" t="str">
        <f t="shared" si="9"/>
        <v>cobertura correcta</v>
      </c>
      <c r="R1065" s="12"/>
      <c r="S1065" s="8"/>
      <c r="T1065" s="12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5" t="s">
        <v>2038</v>
      </c>
      <c r="B1066" s="6" t="s">
        <v>2039</v>
      </c>
      <c r="C1066" s="6">
        <f t="shared" si="1"/>
        <v>1973</v>
      </c>
      <c r="D1066" s="6">
        <f t="shared" si="62"/>
        <v>129</v>
      </c>
      <c r="E1066" s="7">
        <v>0.0</v>
      </c>
      <c r="F1066" s="8"/>
      <c r="G1066" s="6">
        <f t="shared" si="3"/>
        <v>7731</v>
      </c>
      <c r="H1066" s="6">
        <f t="shared" si="4"/>
        <v>11323</v>
      </c>
      <c r="I1066" s="6">
        <f t="shared" si="5"/>
        <v>26609</v>
      </c>
      <c r="J1066" s="6">
        <f t="shared" si="6"/>
        <v>51280</v>
      </c>
      <c r="K1066" s="9"/>
      <c r="L1066" s="9"/>
      <c r="M1066" s="9"/>
      <c r="N1066" s="9">
        <f t="shared" si="7"/>
        <v>25.99087684</v>
      </c>
      <c r="O1066" s="10">
        <f t="shared" si="8"/>
        <v>7.656189367</v>
      </c>
      <c r="P1066" s="9">
        <v>20.0</v>
      </c>
      <c r="Q1066" s="11" t="str">
        <f t="shared" si="9"/>
        <v>¡Compra YA!</v>
      </c>
      <c r="R1066" s="12"/>
      <c r="S1066" s="8"/>
      <c r="T1066" s="12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5" t="s">
        <v>2040</v>
      </c>
      <c r="B1067" s="6" t="s">
        <v>2041</v>
      </c>
      <c r="C1067" s="6">
        <f t="shared" si="1"/>
        <v>4640</v>
      </c>
      <c r="D1067" s="6">
        <f t="shared" si="62"/>
        <v>136</v>
      </c>
      <c r="E1067" s="7">
        <v>0.0</v>
      </c>
      <c r="F1067" s="8"/>
      <c r="G1067" s="6">
        <f t="shared" si="3"/>
        <v>6669</v>
      </c>
      <c r="H1067" s="6">
        <f t="shared" si="4"/>
        <v>10037</v>
      </c>
      <c r="I1067" s="6">
        <f t="shared" si="5"/>
        <v>25742</v>
      </c>
      <c r="J1067" s="6">
        <f t="shared" si="6"/>
        <v>82706</v>
      </c>
      <c r="K1067" s="9"/>
      <c r="L1067" s="9"/>
      <c r="M1067" s="9"/>
      <c r="N1067" s="9">
        <f t="shared" si="7"/>
        <v>17.82456897</v>
      </c>
      <c r="O1067" s="10">
        <f t="shared" si="8"/>
        <v>20.87269456</v>
      </c>
      <c r="P1067" s="9">
        <v>7.0</v>
      </c>
      <c r="Q1067" s="11" t="str">
        <f t="shared" si="9"/>
        <v>cobertura correcta</v>
      </c>
      <c r="R1067" s="12"/>
      <c r="S1067" s="8"/>
      <c r="T1067" s="12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5" t="s">
        <v>2042</v>
      </c>
      <c r="B1068" s="6" t="s">
        <v>2043</v>
      </c>
      <c r="C1068" s="6">
        <f t="shared" si="1"/>
        <v>1877</v>
      </c>
      <c r="D1068" s="6">
        <f t="shared" si="62"/>
        <v>147</v>
      </c>
      <c r="E1068" s="7">
        <v>0.0</v>
      </c>
      <c r="F1068" s="8"/>
      <c r="G1068" s="6">
        <f t="shared" si="3"/>
        <v>2311</v>
      </c>
      <c r="H1068" s="6">
        <f t="shared" si="4"/>
        <v>9917</v>
      </c>
      <c r="I1068" s="6">
        <f t="shared" si="5"/>
        <v>27155</v>
      </c>
      <c r="J1068" s="6">
        <f t="shared" si="6"/>
        <v>90565</v>
      </c>
      <c r="K1068" s="9"/>
      <c r="L1068" s="9"/>
      <c r="M1068" s="9"/>
      <c r="N1068" s="9">
        <f t="shared" si="7"/>
        <v>48.24986681</v>
      </c>
      <c r="O1068" s="10">
        <f t="shared" si="8"/>
        <v>24.36607529</v>
      </c>
      <c r="P1068" s="9">
        <v>7.0</v>
      </c>
      <c r="Q1068" s="11" t="str">
        <f t="shared" si="9"/>
        <v>cobertura correcta</v>
      </c>
      <c r="R1068" s="12"/>
      <c r="S1068" s="8"/>
      <c r="T1068" s="12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5.75" customHeight="1">
      <c r="A1069" s="5" t="s">
        <v>2044</v>
      </c>
      <c r="B1069" s="6" t="s">
        <v>2045</v>
      </c>
      <c r="C1069" s="6">
        <f t="shared" si="1"/>
        <v>7666</v>
      </c>
      <c r="D1069" s="6">
        <f t="shared" si="62"/>
        <v>20</v>
      </c>
      <c r="E1069" s="7">
        <v>0.0</v>
      </c>
      <c r="F1069" s="8"/>
      <c r="G1069" s="6">
        <f t="shared" si="3"/>
        <v>7884</v>
      </c>
      <c r="H1069" s="6">
        <f t="shared" si="4"/>
        <v>18972</v>
      </c>
      <c r="I1069" s="6">
        <f t="shared" si="5"/>
        <v>25738</v>
      </c>
      <c r="J1069" s="6">
        <f t="shared" si="6"/>
        <v>51535</v>
      </c>
      <c r="K1069" s="9"/>
      <c r="L1069" s="9"/>
      <c r="M1069" s="9"/>
      <c r="N1069" s="9">
        <f t="shared" si="7"/>
        <v>6.722541091</v>
      </c>
      <c r="O1069" s="10">
        <f t="shared" si="8"/>
        <v>29.17047184</v>
      </c>
      <c r="P1069" s="9">
        <v>15.0</v>
      </c>
      <c r="Q1069" s="11" t="str">
        <f t="shared" si="9"/>
        <v>cobertura correcta</v>
      </c>
      <c r="R1069" s="12"/>
      <c r="S1069" s="8"/>
      <c r="T1069" s="12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5.75" customHeight="1">
      <c r="A1070" s="5" t="s">
        <v>2046</v>
      </c>
      <c r="B1070" s="6" t="s">
        <v>2047</v>
      </c>
      <c r="C1070" s="6">
        <f t="shared" si="1"/>
        <v>2396</v>
      </c>
      <c r="D1070" s="6">
        <f t="shared" si="62"/>
        <v>27</v>
      </c>
      <c r="E1070" s="7">
        <v>0.0</v>
      </c>
      <c r="F1070" s="8"/>
      <c r="G1070" s="6">
        <f t="shared" si="3"/>
        <v>4264</v>
      </c>
      <c r="H1070" s="6">
        <f t="shared" si="4"/>
        <v>16746</v>
      </c>
      <c r="I1070" s="6">
        <f t="shared" si="5"/>
        <v>27059</v>
      </c>
      <c r="J1070" s="6">
        <f t="shared" si="6"/>
        <v>32489</v>
      </c>
      <c r="K1070" s="9"/>
      <c r="L1070" s="9"/>
      <c r="M1070" s="9"/>
      <c r="N1070" s="9">
        <f t="shared" si="7"/>
        <v>13.5596828</v>
      </c>
      <c r="O1070" s="10">
        <f t="shared" si="8"/>
        <v>16.85741088</v>
      </c>
      <c r="P1070" s="9">
        <v>15.0</v>
      </c>
      <c r="Q1070" s="11" t="str">
        <f t="shared" si="9"/>
        <v>cobertura correcta</v>
      </c>
      <c r="R1070" s="12"/>
      <c r="S1070" s="8"/>
      <c r="T1070" s="12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 ht="15.75" customHeight="1">
      <c r="A1071" s="5" t="s">
        <v>2048</v>
      </c>
      <c r="B1071" s="6" t="s">
        <v>2049</v>
      </c>
      <c r="C1071" s="6">
        <f t="shared" si="1"/>
        <v>8900</v>
      </c>
      <c r="D1071" s="6">
        <f t="shared" si="62"/>
        <v>91</v>
      </c>
      <c r="E1071" s="7">
        <v>0.0</v>
      </c>
      <c r="F1071" s="8"/>
      <c r="G1071" s="6">
        <f t="shared" si="3"/>
        <v>6715</v>
      </c>
      <c r="H1071" s="6">
        <f t="shared" si="4"/>
        <v>14464</v>
      </c>
      <c r="I1071" s="6">
        <f t="shared" si="5"/>
        <v>20076</v>
      </c>
      <c r="J1071" s="6">
        <f t="shared" si="6"/>
        <v>43554</v>
      </c>
      <c r="K1071" s="9"/>
      <c r="L1071" s="9"/>
      <c r="M1071" s="9"/>
      <c r="N1071" s="9">
        <f t="shared" si="7"/>
        <v>4.893707865</v>
      </c>
      <c r="O1071" s="10">
        <f t="shared" si="8"/>
        <v>39.76172748</v>
      </c>
      <c r="P1071" s="9">
        <v>7.0</v>
      </c>
      <c r="Q1071" s="11" t="str">
        <f t="shared" si="9"/>
        <v>cobertura correcta</v>
      </c>
      <c r="R1071" s="12"/>
      <c r="S1071" s="8"/>
      <c r="T1071" s="12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 ht="15.75" customHeight="1">
      <c r="A1072" s="5" t="s">
        <v>2050</v>
      </c>
      <c r="B1072" s="6" t="s">
        <v>2051</v>
      </c>
      <c r="C1072" s="6">
        <f t="shared" si="1"/>
        <v>8266</v>
      </c>
      <c r="D1072" s="6">
        <f t="shared" si="62"/>
        <v>95</v>
      </c>
      <c r="E1072" s="7">
        <v>0.0</v>
      </c>
      <c r="F1072" s="8"/>
      <c r="G1072" s="6">
        <f t="shared" si="3"/>
        <v>1079</v>
      </c>
      <c r="H1072" s="6">
        <f t="shared" si="4"/>
        <v>18338</v>
      </c>
      <c r="I1072" s="6">
        <f t="shared" si="5"/>
        <v>26018</v>
      </c>
      <c r="J1072" s="6">
        <f t="shared" si="6"/>
        <v>37312</v>
      </c>
      <c r="K1072" s="9"/>
      <c r="L1072" s="9"/>
      <c r="M1072" s="9"/>
      <c r="N1072" s="9">
        <f t="shared" si="7"/>
        <v>4.513912412</v>
      </c>
      <c r="O1072" s="10">
        <f t="shared" si="8"/>
        <v>229.823911</v>
      </c>
      <c r="P1072" s="9">
        <v>20.0</v>
      </c>
      <c r="Q1072" s="11" t="str">
        <f t="shared" si="9"/>
        <v>cobertura correcta</v>
      </c>
      <c r="R1072" s="12"/>
      <c r="S1072" s="8"/>
      <c r="T1072" s="12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 ht="15.75" customHeight="1">
      <c r="A1073" s="5" t="s">
        <v>2052</v>
      </c>
      <c r="B1073" s="6" t="s">
        <v>2053</v>
      </c>
      <c r="C1073" s="6">
        <f t="shared" si="1"/>
        <v>5975</v>
      </c>
      <c r="D1073" s="6">
        <f t="shared" si="62"/>
        <v>18</v>
      </c>
      <c r="E1073" s="7">
        <v>0.0</v>
      </c>
      <c r="F1073" s="8"/>
      <c r="G1073" s="6">
        <f t="shared" si="3"/>
        <v>5106</v>
      </c>
      <c r="H1073" s="6">
        <f t="shared" si="4"/>
        <v>17615</v>
      </c>
      <c r="I1073" s="6">
        <f t="shared" si="5"/>
        <v>22947</v>
      </c>
      <c r="J1073" s="6">
        <f t="shared" si="6"/>
        <v>69778</v>
      </c>
      <c r="K1073" s="9"/>
      <c r="L1073" s="9"/>
      <c r="M1073" s="9"/>
      <c r="N1073" s="9">
        <f t="shared" si="7"/>
        <v>11.67832636</v>
      </c>
      <c r="O1073" s="10">
        <f t="shared" si="8"/>
        <v>35.10575793</v>
      </c>
      <c r="P1073" s="9">
        <v>7.0</v>
      </c>
      <c r="Q1073" s="11" t="str">
        <f t="shared" si="9"/>
        <v>cobertura correcta</v>
      </c>
      <c r="R1073" s="12"/>
      <c r="S1073" s="8"/>
      <c r="T1073" s="12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 ht="15.75" customHeight="1">
      <c r="A1074" s="5" t="s">
        <v>2054</v>
      </c>
      <c r="B1074" s="6" t="s">
        <v>2055</v>
      </c>
      <c r="C1074" s="6">
        <f t="shared" si="1"/>
        <v>3338</v>
      </c>
      <c r="D1074" s="6">
        <f t="shared" si="62"/>
        <v>66</v>
      </c>
      <c r="E1074" s="7">
        <v>0.0</v>
      </c>
      <c r="F1074" s="8"/>
      <c r="G1074" s="6">
        <f t="shared" si="3"/>
        <v>1017</v>
      </c>
      <c r="H1074" s="6">
        <f t="shared" si="4"/>
        <v>14068</v>
      </c>
      <c r="I1074" s="6">
        <f t="shared" si="5"/>
        <v>22414</v>
      </c>
      <c r="J1074" s="6">
        <f t="shared" si="6"/>
        <v>54047</v>
      </c>
      <c r="K1074" s="9"/>
      <c r="L1074" s="9"/>
      <c r="M1074" s="9"/>
      <c r="N1074" s="9">
        <f t="shared" si="7"/>
        <v>16.191432</v>
      </c>
      <c r="O1074" s="10">
        <f t="shared" si="8"/>
        <v>98.4660767</v>
      </c>
      <c r="P1074" s="9">
        <v>7.0</v>
      </c>
      <c r="Q1074" s="11" t="str">
        <f t="shared" si="9"/>
        <v>cobertura correcta</v>
      </c>
      <c r="R1074" s="12"/>
      <c r="S1074" s="8"/>
      <c r="T1074" s="12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 ht="15.75" customHeight="1">
      <c r="A1075" s="5" t="s">
        <v>2056</v>
      </c>
      <c r="B1075" s="6" t="s">
        <v>2057</v>
      </c>
      <c r="C1075" s="6">
        <f t="shared" si="1"/>
        <v>3495</v>
      </c>
      <c r="D1075" s="6">
        <f t="shared" si="62"/>
        <v>168</v>
      </c>
      <c r="E1075" s="7">
        <v>0.0</v>
      </c>
      <c r="F1075" s="8"/>
      <c r="G1075" s="6">
        <f t="shared" si="3"/>
        <v>4554</v>
      </c>
      <c r="H1075" s="6">
        <f t="shared" si="4"/>
        <v>11325</v>
      </c>
      <c r="I1075" s="6">
        <f t="shared" si="5"/>
        <v>25401</v>
      </c>
      <c r="J1075" s="6">
        <f t="shared" si="6"/>
        <v>34701</v>
      </c>
      <c r="K1075" s="9"/>
      <c r="L1075" s="9"/>
      <c r="M1075" s="9"/>
      <c r="N1075" s="9">
        <f t="shared" si="7"/>
        <v>9.928755365</v>
      </c>
      <c r="O1075" s="10">
        <f t="shared" si="8"/>
        <v>23.02371542</v>
      </c>
      <c r="P1075" s="9">
        <v>7.0</v>
      </c>
      <c r="Q1075" s="11" t="str">
        <f t="shared" si="9"/>
        <v>cobertura correcta</v>
      </c>
      <c r="R1075" s="12"/>
      <c r="S1075" s="8"/>
      <c r="T1075" s="12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 ht="15.75" customHeight="1">
      <c r="A1076" s="5" t="s">
        <v>2058</v>
      </c>
      <c r="B1076" s="6" t="s">
        <v>2059</v>
      </c>
      <c r="C1076" s="6">
        <f t="shared" si="1"/>
        <v>6152</v>
      </c>
      <c r="D1076" s="6">
        <f t="shared" si="62"/>
        <v>70</v>
      </c>
      <c r="E1076" s="7">
        <v>0.0</v>
      </c>
      <c r="F1076" s="8"/>
      <c r="G1076" s="6">
        <f t="shared" si="3"/>
        <v>1656</v>
      </c>
      <c r="H1076" s="6">
        <f t="shared" si="4"/>
        <v>11146</v>
      </c>
      <c r="I1076" s="6">
        <f t="shared" si="5"/>
        <v>26067</v>
      </c>
      <c r="J1076" s="6">
        <f t="shared" si="6"/>
        <v>68900</v>
      </c>
      <c r="K1076" s="9"/>
      <c r="L1076" s="9"/>
      <c r="M1076" s="9"/>
      <c r="N1076" s="9">
        <f t="shared" si="7"/>
        <v>11.19960988</v>
      </c>
      <c r="O1076" s="10">
        <f t="shared" si="8"/>
        <v>111.4492754</v>
      </c>
      <c r="P1076" s="9">
        <v>20.0</v>
      </c>
      <c r="Q1076" s="11" t="str">
        <f t="shared" si="9"/>
        <v>cobertura correcta</v>
      </c>
      <c r="R1076" s="12"/>
      <c r="S1076" s="8"/>
      <c r="T1076" s="12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 ht="15.75" customHeight="1">
      <c r="A1077" s="5" t="s">
        <v>2060</v>
      </c>
      <c r="B1077" s="6"/>
      <c r="C1077" s="6">
        <f t="shared" si="1"/>
        <v>3511</v>
      </c>
      <c r="D1077" s="6">
        <f t="shared" si="62"/>
        <v>141</v>
      </c>
      <c r="E1077" s="7">
        <v>0.0</v>
      </c>
      <c r="F1077" s="8"/>
      <c r="G1077" s="6">
        <f t="shared" si="3"/>
        <v>7911</v>
      </c>
      <c r="H1077" s="6">
        <f t="shared" si="4"/>
        <v>18610</v>
      </c>
      <c r="I1077" s="6">
        <f t="shared" si="5"/>
        <v>20210</v>
      </c>
      <c r="J1077" s="6">
        <f t="shared" si="6"/>
        <v>86520</v>
      </c>
      <c r="K1077" s="9"/>
      <c r="L1077" s="9"/>
      <c r="M1077" s="9"/>
      <c r="N1077" s="9">
        <f t="shared" si="7"/>
        <v>24.64255198</v>
      </c>
      <c r="O1077" s="10">
        <f t="shared" si="8"/>
        <v>13.31437239</v>
      </c>
      <c r="P1077" s="9">
        <v>7.0</v>
      </c>
      <c r="Q1077" s="11" t="str">
        <f t="shared" si="9"/>
        <v>cobertura correcta</v>
      </c>
      <c r="R1077" s="12"/>
      <c r="S1077" s="8"/>
      <c r="T1077" s="12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 ht="15.75" customHeight="1">
      <c r="A1078" s="5" t="s">
        <v>2061</v>
      </c>
      <c r="B1078" s="6" t="s">
        <v>2062</v>
      </c>
      <c r="C1078" s="6">
        <f t="shared" si="1"/>
        <v>8257</v>
      </c>
      <c r="D1078" s="6">
        <f t="shared" si="62"/>
        <v>58</v>
      </c>
      <c r="E1078" s="7">
        <v>0.0</v>
      </c>
      <c r="F1078" s="8"/>
      <c r="G1078" s="6">
        <f t="shared" si="3"/>
        <v>8640</v>
      </c>
      <c r="H1078" s="6">
        <f t="shared" si="4"/>
        <v>14915</v>
      </c>
      <c r="I1078" s="6">
        <f t="shared" si="5"/>
        <v>25408</v>
      </c>
      <c r="J1078" s="6">
        <f t="shared" si="6"/>
        <v>78324</v>
      </c>
      <c r="K1078" s="9"/>
      <c r="L1078" s="9"/>
      <c r="M1078" s="9"/>
      <c r="N1078" s="9">
        <f t="shared" si="7"/>
        <v>9.48576965</v>
      </c>
      <c r="O1078" s="10">
        <f t="shared" si="8"/>
        <v>28.67013889</v>
      </c>
      <c r="P1078" s="9">
        <v>7.0</v>
      </c>
      <c r="Q1078" s="11" t="str">
        <f t="shared" si="9"/>
        <v>cobertura correcta</v>
      </c>
      <c r="R1078" s="12"/>
      <c r="S1078" s="8"/>
      <c r="T1078" s="12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 ht="15.75" customHeight="1">
      <c r="A1079" s="5" t="s">
        <v>2063</v>
      </c>
      <c r="B1079" s="6" t="s">
        <v>2064</v>
      </c>
      <c r="C1079" s="6">
        <f t="shared" si="1"/>
        <v>4492</v>
      </c>
      <c r="D1079" s="6">
        <f t="shared" si="62"/>
        <v>30</v>
      </c>
      <c r="E1079" s="7">
        <v>0.0</v>
      </c>
      <c r="F1079" s="8"/>
      <c r="G1079" s="6">
        <f t="shared" si="3"/>
        <v>6783</v>
      </c>
      <c r="H1079" s="6">
        <f t="shared" si="4"/>
        <v>14037</v>
      </c>
      <c r="I1079" s="6">
        <f t="shared" si="5"/>
        <v>21188</v>
      </c>
      <c r="J1079" s="6">
        <f t="shared" si="6"/>
        <v>43152</v>
      </c>
      <c r="K1079" s="9"/>
      <c r="L1079" s="9"/>
      <c r="M1079" s="9"/>
      <c r="N1079" s="9">
        <f t="shared" si="7"/>
        <v>9.606411398</v>
      </c>
      <c r="O1079" s="10">
        <f t="shared" si="8"/>
        <v>19.86731535</v>
      </c>
      <c r="P1079" s="9">
        <v>7.0</v>
      </c>
      <c r="Q1079" s="11" t="str">
        <f t="shared" si="9"/>
        <v>cobertura correcta</v>
      </c>
      <c r="R1079" s="12"/>
      <c r="S1079" s="8"/>
      <c r="T1079" s="12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 ht="15.75" customHeight="1">
      <c r="A1080" s="5" t="s">
        <v>2065</v>
      </c>
      <c r="B1080" s="6" t="s">
        <v>2066</v>
      </c>
      <c r="C1080" s="6">
        <f t="shared" si="1"/>
        <v>4433</v>
      </c>
      <c r="D1080" s="6">
        <f t="shared" si="62"/>
        <v>68</v>
      </c>
      <c r="E1080" s="7">
        <v>0.0</v>
      </c>
      <c r="F1080" s="8"/>
      <c r="G1080" s="6">
        <f t="shared" si="3"/>
        <v>7225</v>
      </c>
      <c r="H1080" s="6">
        <f t="shared" si="4"/>
        <v>9840</v>
      </c>
      <c r="I1080" s="6">
        <f t="shared" si="5"/>
        <v>27803</v>
      </c>
      <c r="J1080" s="6">
        <f t="shared" si="6"/>
        <v>94130</v>
      </c>
      <c r="K1080" s="9"/>
      <c r="L1080" s="9"/>
      <c r="M1080" s="9"/>
      <c r="N1080" s="9">
        <f t="shared" si="7"/>
        <v>21.23392736</v>
      </c>
      <c r="O1080" s="10">
        <f t="shared" si="8"/>
        <v>18.40692042</v>
      </c>
      <c r="P1080" s="9">
        <v>7.0</v>
      </c>
      <c r="Q1080" s="11" t="str">
        <f t="shared" si="9"/>
        <v>cobertura correcta</v>
      </c>
      <c r="R1080" s="12"/>
      <c r="S1080" s="8"/>
      <c r="T1080" s="12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 ht="15.75" customHeight="1">
      <c r="A1081" s="5" t="s">
        <v>2067</v>
      </c>
      <c r="B1081" s="6" t="s">
        <v>2068</v>
      </c>
      <c r="C1081" s="6">
        <f t="shared" si="1"/>
        <v>6799</v>
      </c>
      <c r="D1081" s="6">
        <f t="shared" si="62"/>
        <v>16</v>
      </c>
      <c r="E1081" s="7">
        <v>0.0</v>
      </c>
      <c r="F1081" s="8"/>
      <c r="G1081" s="6">
        <f t="shared" si="3"/>
        <v>3883</v>
      </c>
      <c r="H1081" s="6">
        <f t="shared" si="4"/>
        <v>15156</v>
      </c>
      <c r="I1081" s="6">
        <f t="shared" si="5"/>
        <v>27366</v>
      </c>
      <c r="J1081" s="6">
        <f t="shared" si="6"/>
        <v>72320</v>
      </c>
      <c r="K1081" s="9"/>
      <c r="L1081" s="9"/>
      <c r="M1081" s="9"/>
      <c r="N1081" s="9">
        <f t="shared" si="7"/>
        <v>10.63685836</v>
      </c>
      <c r="O1081" s="10">
        <f t="shared" si="8"/>
        <v>52.52897244</v>
      </c>
      <c r="P1081" s="9">
        <v>7.0</v>
      </c>
      <c r="Q1081" s="11" t="str">
        <f t="shared" si="9"/>
        <v>cobertura correcta</v>
      </c>
      <c r="R1081" s="12"/>
      <c r="S1081" s="8"/>
      <c r="T1081" s="12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 ht="15.75" customHeight="1">
      <c r="A1082" s="5" t="s">
        <v>2069</v>
      </c>
      <c r="B1082" s="6" t="s">
        <v>2070</v>
      </c>
      <c r="C1082" s="6">
        <f t="shared" si="1"/>
        <v>7417</v>
      </c>
      <c r="D1082" s="6">
        <f t="shared" si="62"/>
        <v>50</v>
      </c>
      <c r="E1082" s="7">
        <v>0.0</v>
      </c>
      <c r="F1082" s="8"/>
      <c r="G1082" s="6">
        <f t="shared" si="3"/>
        <v>3095</v>
      </c>
      <c r="H1082" s="6">
        <f t="shared" si="4"/>
        <v>10443</v>
      </c>
      <c r="I1082" s="6">
        <f t="shared" si="5"/>
        <v>23239</v>
      </c>
      <c r="J1082" s="6">
        <f t="shared" si="6"/>
        <v>38680</v>
      </c>
      <c r="K1082" s="9"/>
      <c r="L1082" s="9"/>
      <c r="M1082" s="9"/>
      <c r="N1082" s="9">
        <f t="shared" si="7"/>
        <v>5.215046515</v>
      </c>
      <c r="O1082" s="10">
        <f t="shared" si="8"/>
        <v>71.89337641</v>
      </c>
      <c r="P1082" s="9">
        <v>7.0</v>
      </c>
      <c r="Q1082" s="11" t="str">
        <f t="shared" si="9"/>
        <v>cobertura correcta</v>
      </c>
      <c r="R1082" s="12"/>
      <c r="S1082" s="8"/>
      <c r="T1082" s="12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 ht="15.75" customHeight="1">
      <c r="A1083" s="5" t="s">
        <v>2071</v>
      </c>
      <c r="B1083" s="6" t="s">
        <v>2072</v>
      </c>
      <c r="C1083" s="6">
        <f t="shared" si="1"/>
        <v>5780</v>
      </c>
      <c r="D1083" s="6">
        <f t="shared" si="62"/>
        <v>183</v>
      </c>
      <c r="E1083" s="7">
        <v>0.0</v>
      </c>
      <c r="F1083" s="8"/>
      <c r="G1083" s="6">
        <f t="shared" si="3"/>
        <v>6561</v>
      </c>
      <c r="H1083" s="6">
        <f t="shared" si="4"/>
        <v>9708</v>
      </c>
      <c r="I1083" s="6">
        <f t="shared" si="5"/>
        <v>25277</v>
      </c>
      <c r="J1083" s="6">
        <f t="shared" si="6"/>
        <v>76863</v>
      </c>
      <c r="K1083" s="9"/>
      <c r="L1083" s="9"/>
      <c r="M1083" s="9"/>
      <c r="N1083" s="9">
        <f t="shared" si="7"/>
        <v>13.29809689</v>
      </c>
      <c r="O1083" s="10">
        <f t="shared" si="8"/>
        <v>26.42889803</v>
      </c>
      <c r="P1083" s="9">
        <v>30.0</v>
      </c>
      <c r="Q1083" s="11" t="str">
        <f t="shared" si="9"/>
        <v>¡Compra YA!</v>
      </c>
      <c r="R1083" s="12"/>
      <c r="S1083" s="8"/>
      <c r="T1083" s="12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 ht="15.75" customHeight="1">
      <c r="A1084" s="5" t="s">
        <v>2073</v>
      </c>
      <c r="B1084" s="6" t="s">
        <v>2074</v>
      </c>
      <c r="C1084" s="6">
        <f t="shared" si="1"/>
        <v>3479</v>
      </c>
      <c r="D1084" s="6">
        <f t="shared" si="62"/>
        <v>157</v>
      </c>
      <c r="E1084" s="7">
        <v>0.0</v>
      </c>
      <c r="F1084" s="8"/>
      <c r="G1084" s="6">
        <f t="shared" si="3"/>
        <v>4277</v>
      </c>
      <c r="H1084" s="6">
        <f t="shared" si="4"/>
        <v>10500</v>
      </c>
      <c r="I1084" s="6">
        <f t="shared" si="5"/>
        <v>27353</v>
      </c>
      <c r="J1084" s="6">
        <f t="shared" si="6"/>
        <v>44071</v>
      </c>
      <c r="K1084" s="9"/>
      <c r="L1084" s="9"/>
      <c r="M1084" s="9"/>
      <c r="N1084" s="9">
        <f t="shared" si="7"/>
        <v>12.66772061</v>
      </c>
      <c r="O1084" s="10">
        <f t="shared" si="8"/>
        <v>24.40261866</v>
      </c>
      <c r="P1084" s="9">
        <v>7.0</v>
      </c>
      <c r="Q1084" s="11" t="str">
        <f t="shared" si="9"/>
        <v>cobertura correcta</v>
      </c>
      <c r="R1084" s="12"/>
      <c r="S1084" s="8"/>
      <c r="T1084" s="12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ht="15.75" customHeight="1">
      <c r="A1085" s="5" t="s">
        <v>2075</v>
      </c>
      <c r="B1085" s="6" t="s">
        <v>2076</v>
      </c>
      <c r="C1085" s="6">
        <f t="shared" si="1"/>
        <v>4164</v>
      </c>
      <c r="D1085" s="6">
        <f t="shared" si="62"/>
        <v>77</v>
      </c>
      <c r="E1085" s="7">
        <v>0.0</v>
      </c>
      <c r="F1085" s="8"/>
      <c r="G1085" s="6">
        <f t="shared" si="3"/>
        <v>2518</v>
      </c>
      <c r="H1085" s="6">
        <f t="shared" si="4"/>
        <v>13328</v>
      </c>
      <c r="I1085" s="6">
        <f t="shared" si="5"/>
        <v>23772</v>
      </c>
      <c r="J1085" s="6">
        <f t="shared" si="6"/>
        <v>76040</v>
      </c>
      <c r="K1085" s="9"/>
      <c r="L1085" s="9"/>
      <c r="M1085" s="9"/>
      <c r="N1085" s="9">
        <f t="shared" si="7"/>
        <v>18.26128722</v>
      </c>
      <c r="O1085" s="10">
        <f t="shared" si="8"/>
        <v>49.61080222</v>
      </c>
      <c r="P1085" s="9">
        <v>7.0</v>
      </c>
      <c r="Q1085" s="11" t="str">
        <f t="shared" si="9"/>
        <v>cobertura correcta</v>
      </c>
      <c r="R1085" s="12"/>
      <c r="S1085" s="8"/>
      <c r="T1085" s="12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 ht="15.75" customHeight="1">
      <c r="A1086" s="5" t="s">
        <v>2077</v>
      </c>
      <c r="B1086" s="6"/>
      <c r="C1086" s="6">
        <f t="shared" si="1"/>
        <v>8425</v>
      </c>
      <c r="D1086" s="6">
        <f t="shared" si="62"/>
        <v>115</v>
      </c>
      <c r="E1086" s="7">
        <v>0.0</v>
      </c>
      <c r="F1086" s="8"/>
      <c r="G1086" s="6">
        <f t="shared" si="3"/>
        <v>2257</v>
      </c>
      <c r="H1086" s="6">
        <f t="shared" si="4"/>
        <v>14957</v>
      </c>
      <c r="I1086" s="6">
        <f t="shared" si="5"/>
        <v>19334</v>
      </c>
      <c r="J1086" s="6">
        <f t="shared" si="6"/>
        <v>73872</v>
      </c>
      <c r="K1086" s="9"/>
      <c r="L1086" s="9"/>
      <c r="M1086" s="9"/>
      <c r="N1086" s="9">
        <f t="shared" si="7"/>
        <v>8.768189911</v>
      </c>
      <c r="O1086" s="10">
        <f t="shared" si="8"/>
        <v>111.9849358</v>
      </c>
      <c r="P1086" s="9">
        <v>15.0</v>
      </c>
      <c r="Q1086" s="11" t="str">
        <f t="shared" si="9"/>
        <v>cobertura correcta</v>
      </c>
      <c r="R1086" s="12"/>
      <c r="S1086" s="8"/>
      <c r="T1086" s="12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 ht="15.75" customHeight="1">
      <c r="A1087" s="5" t="s">
        <v>2078</v>
      </c>
      <c r="B1087" s="6"/>
      <c r="C1087" s="6">
        <f t="shared" si="1"/>
        <v>8492</v>
      </c>
      <c r="D1087" s="6">
        <f t="shared" si="62"/>
        <v>191</v>
      </c>
      <c r="E1087" s="7">
        <v>0.0</v>
      </c>
      <c r="F1087" s="8"/>
      <c r="G1087" s="6">
        <f t="shared" si="3"/>
        <v>6343</v>
      </c>
      <c r="H1087" s="6">
        <f t="shared" si="4"/>
        <v>15418</v>
      </c>
      <c r="I1087" s="6">
        <f t="shared" si="5"/>
        <v>28019</v>
      </c>
      <c r="J1087" s="6">
        <f t="shared" si="6"/>
        <v>74987</v>
      </c>
      <c r="K1087" s="9"/>
      <c r="L1087" s="9"/>
      <c r="M1087" s="9"/>
      <c r="N1087" s="9">
        <f t="shared" si="7"/>
        <v>8.830310881</v>
      </c>
      <c r="O1087" s="10">
        <f t="shared" si="8"/>
        <v>40.16396027</v>
      </c>
      <c r="P1087" s="9">
        <v>7.0</v>
      </c>
      <c r="Q1087" s="11" t="str">
        <f t="shared" si="9"/>
        <v>cobertura correcta</v>
      </c>
      <c r="R1087" s="12"/>
      <c r="S1087" s="8"/>
      <c r="T1087" s="12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 ht="15.75" customHeight="1">
      <c r="A1088" s="5" t="s">
        <v>2079</v>
      </c>
      <c r="B1088" s="6"/>
      <c r="C1088" s="6">
        <f t="shared" si="1"/>
        <v>3785</v>
      </c>
      <c r="D1088" s="6">
        <f t="shared" si="62"/>
        <v>144</v>
      </c>
      <c r="E1088" s="7">
        <v>0.0</v>
      </c>
      <c r="F1088" s="8"/>
      <c r="G1088" s="6">
        <f t="shared" si="3"/>
        <v>2671</v>
      </c>
      <c r="H1088" s="6">
        <f t="shared" si="4"/>
        <v>16809</v>
      </c>
      <c r="I1088" s="6">
        <f t="shared" si="5"/>
        <v>22703</v>
      </c>
      <c r="J1088" s="6">
        <f t="shared" si="6"/>
        <v>73778</v>
      </c>
      <c r="K1088" s="9"/>
      <c r="L1088" s="9"/>
      <c r="M1088" s="9"/>
      <c r="N1088" s="9">
        <f t="shared" si="7"/>
        <v>19.49220608</v>
      </c>
      <c r="O1088" s="10">
        <f t="shared" si="8"/>
        <v>42.51216773</v>
      </c>
      <c r="P1088" s="9">
        <v>7.0</v>
      </c>
      <c r="Q1088" s="11" t="str">
        <f t="shared" si="9"/>
        <v>cobertura correcta</v>
      </c>
      <c r="R1088" s="12"/>
      <c r="S1088" s="8"/>
      <c r="T1088" s="12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 ht="15.75" customHeight="1">
      <c r="A1089" s="5" t="s">
        <v>2080</v>
      </c>
      <c r="B1089" s="6"/>
      <c r="C1089" s="6">
        <f t="shared" si="1"/>
        <v>4658</v>
      </c>
      <c r="D1089" s="6">
        <f t="shared" si="62"/>
        <v>199</v>
      </c>
      <c r="E1089" s="7">
        <v>0.0</v>
      </c>
      <c r="F1089" s="8"/>
      <c r="G1089" s="6">
        <f t="shared" si="3"/>
        <v>7715</v>
      </c>
      <c r="H1089" s="6">
        <f t="shared" si="4"/>
        <v>16736</v>
      </c>
      <c r="I1089" s="6">
        <f t="shared" si="5"/>
        <v>26092</v>
      </c>
      <c r="J1089" s="6">
        <f t="shared" si="6"/>
        <v>82625</v>
      </c>
      <c r="K1089" s="9"/>
      <c r="L1089" s="9"/>
      <c r="M1089" s="9"/>
      <c r="N1089" s="9">
        <f t="shared" si="7"/>
        <v>17.7382997</v>
      </c>
      <c r="O1089" s="10">
        <f t="shared" si="8"/>
        <v>18.11276734</v>
      </c>
      <c r="P1089" s="9">
        <v>7.0</v>
      </c>
      <c r="Q1089" s="11" t="str">
        <f t="shared" si="9"/>
        <v>cobertura correcta</v>
      </c>
      <c r="R1089" s="12"/>
      <c r="S1089" s="8"/>
      <c r="T1089" s="12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 ht="15.75" customHeight="1">
      <c r="A1090" s="5" t="s">
        <v>2081</v>
      </c>
      <c r="B1090" s="6"/>
      <c r="C1090" s="6">
        <f t="shared" si="1"/>
        <v>8587</v>
      </c>
      <c r="D1090" s="6">
        <f t="shared" si="62"/>
        <v>47</v>
      </c>
      <c r="E1090" s="7">
        <v>0.0</v>
      </c>
      <c r="F1090" s="8"/>
      <c r="G1090" s="6">
        <f t="shared" si="3"/>
        <v>8988</v>
      </c>
      <c r="H1090" s="6">
        <f t="shared" si="4"/>
        <v>11584</v>
      </c>
      <c r="I1090" s="6">
        <f t="shared" si="5"/>
        <v>23268</v>
      </c>
      <c r="J1090" s="6">
        <f t="shared" si="6"/>
        <v>80181</v>
      </c>
      <c r="K1090" s="9"/>
      <c r="L1090" s="9"/>
      <c r="M1090" s="9"/>
      <c r="N1090" s="9">
        <f t="shared" si="7"/>
        <v>9.337486899</v>
      </c>
      <c r="O1090" s="10">
        <f t="shared" si="8"/>
        <v>28.66154873</v>
      </c>
      <c r="P1090" s="9">
        <v>7.0</v>
      </c>
      <c r="Q1090" s="11" t="str">
        <f t="shared" si="9"/>
        <v>cobertura correcta</v>
      </c>
      <c r="R1090" s="12"/>
      <c r="S1090" s="8"/>
      <c r="T1090" s="12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 ht="15.75" customHeight="1">
      <c r="A1091" s="5" t="s">
        <v>2082</v>
      </c>
      <c r="B1091" s="6"/>
      <c r="C1091" s="6">
        <f t="shared" si="1"/>
        <v>3525</v>
      </c>
      <c r="D1091" s="6">
        <f t="shared" si="62"/>
        <v>193</v>
      </c>
      <c r="E1091" s="7">
        <v>0.0</v>
      </c>
      <c r="F1091" s="8"/>
      <c r="G1091" s="6">
        <f t="shared" si="3"/>
        <v>1170</v>
      </c>
      <c r="H1091" s="6">
        <f t="shared" si="4"/>
        <v>16613</v>
      </c>
      <c r="I1091" s="6">
        <f t="shared" si="5"/>
        <v>19668</v>
      </c>
      <c r="J1091" s="6">
        <f t="shared" si="6"/>
        <v>84282</v>
      </c>
      <c r="K1091" s="9"/>
      <c r="L1091" s="9"/>
      <c r="M1091" s="9"/>
      <c r="N1091" s="9">
        <f t="shared" si="7"/>
        <v>23.90978723</v>
      </c>
      <c r="O1091" s="10">
        <f t="shared" si="8"/>
        <v>90.38461538</v>
      </c>
      <c r="P1091" s="9">
        <v>7.0</v>
      </c>
      <c r="Q1091" s="11" t="str">
        <f t="shared" si="9"/>
        <v>cobertura correcta</v>
      </c>
      <c r="R1091" s="12"/>
      <c r="S1091" s="8"/>
      <c r="T1091" s="12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 ht="15.75" customHeight="1">
      <c r="A1092" s="5" t="s">
        <v>2083</v>
      </c>
      <c r="B1092" s="6" t="s">
        <v>2084</v>
      </c>
      <c r="C1092" s="6">
        <f t="shared" si="1"/>
        <v>1878</v>
      </c>
      <c r="D1092" s="6">
        <f t="shared" si="62"/>
        <v>174</v>
      </c>
      <c r="E1092" s="7">
        <v>0.0</v>
      </c>
      <c r="F1092" s="8"/>
      <c r="G1092" s="6">
        <f t="shared" si="3"/>
        <v>8747</v>
      </c>
      <c r="H1092" s="6">
        <f t="shared" si="4"/>
        <v>13844</v>
      </c>
      <c r="I1092" s="6">
        <f t="shared" si="5"/>
        <v>24462</v>
      </c>
      <c r="J1092" s="6">
        <f t="shared" si="6"/>
        <v>71011</v>
      </c>
      <c r="K1092" s="9"/>
      <c r="L1092" s="9"/>
      <c r="M1092" s="9"/>
      <c r="N1092" s="9">
        <f t="shared" si="7"/>
        <v>37.81203408</v>
      </c>
      <c r="O1092" s="10">
        <f t="shared" si="8"/>
        <v>6.441065508</v>
      </c>
      <c r="P1092" s="9">
        <v>7.0</v>
      </c>
      <c r="Q1092" s="11" t="str">
        <f t="shared" si="9"/>
        <v>¡Compra YA!</v>
      </c>
      <c r="R1092" s="12"/>
      <c r="S1092" s="8"/>
      <c r="T1092" s="12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 ht="15.75" customHeight="1">
      <c r="A1093" s="5" t="s">
        <v>2085</v>
      </c>
      <c r="B1093" s="6" t="s">
        <v>2086</v>
      </c>
      <c r="C1093" s="6">
        <f t="shared" si="1"/>
        <v>5090</v>
      </c>
      <c r="D1093" s="6">
        <f t="shared" si="62"/>
        <v>45</v>
      </c>
      <c r="E1093" s="7">
        <v>0.0</v>
      </c>
      <c r="F1093" s="8"/>
      <c r="G1093" s="6">
        <f t="shared" si="3"/>
        <v>2145</v>
      </c>
      <c r="H1093" s="6">
        <f t="shared" si="4"/>
        <v>16016</v>
      </c>
      <c r="I1093" s="6">
        <f t="shared" si="5"/>
        <v>22188</v>
      </c>
      <c r="J1093" s="6">
        <f t="shared" si="6"/>
        <v>84925</v>
      </c>
      <c r="K1093" s="9"/>
      <c r="L1093" s="9"/>
      <c r="M1093" s="9"/>
      <c r="N1093" s="9">
        <f t="shared" si="7"/>
        <v>16.68467583</v>
      </c>
      <c r="O1093" s="10">
        <f t="shared" si="8"/>
        <v>71.18881119</v>
      </c>
      <c r="P1093" s="9">
        <v>15.0</v>
      </c>
      <c r="Q1093" s="11" t="str">
        <f t="shared" si="9"/>
        <v>cobertura correcta</v>
      </c>
      <c r="R1093" s="12"/>
      <c r="S1093" s="8"/>
      <c r="T1093" s="12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 ht="15.75" customHeight="1">
      <c r="A1094" s="5" t="s">
        <v>2087</v>
      </c>
      <c r="B1094" s="6" t="s">
        <v>2088</v>
      </c>
      <c r="C1094" s="6">
        <f t="shared" si="1"/>
        <v>4896</v>
      </c>
      <c r="D1094" s="6">
        <f t="shared" si="62"/>
        <v>185</v>
      </c>
      <c r="E1094" s="7">
        <v>0.0</v>
      </c>
      <c r="F1094" s="8"/>
      <c r="G1094" s="6">
        <f t="shared" si="3"/>
        <v>7110</v>
      </c>
      <c r="H1094" s="6">
        <f t="shared" si="4"/>
        <v>13050</v>
      </c>
      <c r="I1094" s="6">
        <f t="shared" si="5"/>
        <v>28217</v>
      </c>
      <c r="J1094" s="6">
        <f t="shared" si="6"/>
        <v>71508</v>
      </c>
      <c r="K1094" s="9"/>
      <c r="L1094" s="9"/>
      <c r="M1094" s="9"/>
      <c r="N1094" s="9">
        <f t="shared" si="7"/>
        <v>14.60539216</v>
      </c>
      <c r="O1094" s="10">
        <f t="shared" si="8"/>
        <v>20.65822785</v>
      </c>
      <c r="P1094" s="9">
        <v>15.0</v>
      </c>
      <c r="Q1094" s="11" t="str">
        <f t="shared" si="9"/>
        <v>cobertura correcta</v>
      </c>
      <c r="R1094" s="12"/>
      <c r="S1094" s="8"/>
      <c r="T1094" s="12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 ht="15.75" customHeight="1">
      <c r="A1095" s="5" t="s">
        <v>2089</v>
      </c>
      <c r="B1095" s="6" t="s">
        <v>2090</v>
      </c>
      <c r="C1095" s="6">
        <f t="shared" si="1"/>
        <v>6343</v>
      </c>
      <c r="D1095" s="6">
        <f t="shared" si="62"/>
        <v>192</v>
      </c>
      <c r="E1095" s="7">
        <v>0.0</v>
      </c>
      <c r="F1095" s="8"/>
      <c r="G1095" s="6">
        <f t="shared" si="3"/>
        <v>4088</v>
      </c>
      <c r="H1095" s="6">
        <f t="shared" si="4"/>
        <v>12116</v>
      </c>
      <c r="I1095" s="6">
        <f t="shared" si="5"/>
        <v>24512</v>
      </c>
      <c r="J1095" s="6">
        <f t="shared" si="6"/>
        <v>79206</v>
      </c>
      <c r="K1095" s="9"/>
      <c r="L1095" s="9"/>
      <c r="M1095" s="9"/>
      <c r="N1095" s="9">
        <f t="shared" si="7"/>
        <v>12.48715119</v>
      </c>
      <c r="O1095" s="10">
        <f t="shared" si="8"/>
        <v>46.54843444</v>
      </c>
      <c r="P1095" s="9">
        <v>15.0</v>
      </c>
      <c r="Q1095" s="11" t="str">
        <f t="shared" si="9"/>
        <v>cobertura correcta</v>
      </c>
      <c r="R1095" s="12"/>
      <c r="S1095" s="8"/>
      <c r="T1095" s="12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  <row r="1096" ht="15.75" customHeight="1">
      <c r="A1096" s="5" t="s">
        <v>2091</v>
      </c>
      <c r="B1096" s="6" t="s">
        <v>2092</v>
      </c>
      <c r="C1096" s="6">
        <f t="shared" si="1"/>
        <v>3289</v>
      </c>
      <c r="D1096" s="6">
        <f t="shared" si="62"/>
        <v>182</v>
      </c>
      <c r="E1096" s="7">
        <v>0.0</v>
      </c>
      <c r="F1096" s="8"/>
      <c r="G1096" s="6">
        <f t="shared" si="3"/>
        <v>6379</v>
      </c>
      <c r="H1096" s="6">
        <f t="shared" si="4"/>
        <v>13342</v>
      </c>
      <c r="I1096" s="6">
        <f t="shared" si="5"/>
        <v>21830</v>
      </c>
      <c r="J1096" s="6">
        <f t="shared" si="6"/>
        <v>60003</v>
      </c>
      <c r="K1096" s="9"/>
      <c r="L1096" s="9"/>
      <c r="M1096" s="9"/>
      <c r="N1096" s="9">
        <f t="shared" si="7"/>
        <v>18.24353907</v>
      </c>
      <c r="O1096" s="10">
        <f t="shared" si="8"/>
        <v>15.46794168</v>
      </c>
      <c r="P1096" s="9">
        <v>15.0</v>
      </c>
      <c r="Q1096" s="11" t="str">
        <f t="shared" si="9"/>
        <v>cobertura correcta</v>
      </c>
      <c r="R1096" s="12"/>
      <c r="S1096" s="8"/>
      <c r="T1096" s="12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</row>
    <row r="1097" ht="15.75" customHeight="1">
      <c r="A1097" s="5" t="s">
        <v>2093</v>
      </c>
      <c r="B1097" s="6" t="s">
        <v>2094</v>
      </c>
      <c r="C1097" s="6">
        <f t="shared" si="1"/>
        <v>7051</v>
      </c>
      <c r="D1097" s="6">
        <f t="shared" si="62"/>
        <v>191</v>
      </c>
      <c r="E1097" s="7">
        <v>0.0</v>
      </c>
      <c r="F1097" s="8"/>
      <c r="G1097" s="6">
        <f t="shared" si="3"/>
        <v>3060</v>
      </c>
      <c r="H1097" s="6">
        <f t="shared" si="4"/>
        <v>12503</v>
      </c>
      <c r="I1097" s="6">
        <f t="shared" si="5"/>
        <v>20949</v>
      </c>
      <c r="J1097" s="6">
        <f t="shared" si="6"/>
        <v>92325</v>
      </c>
      <c r="K1097" s="9"/>
      <c r="L1097" s="9"/>
      <c r="M1097" s="9"/>
      <c r="N1097" s="9">
        <f t="shared" si="7"/>
        <v>13.09388739</v>
      </c>
      <c r="O1097" s="10">
        <f t="shared" si="8"/>
        <v>69.12745098</v>
      </c>
      <c r="P1097" s="9">
        <v>30.0</v>
      </c>
      <c r="Q1097" s="11" t="str">
        <f t="shared" si="9"/>
        <v>cobertura correcta</v>
      </c>
      <c r="R1097" s="12"/>
      <c r="S1097" s="8"/>
      <c r="T1097" s="12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</row>
    <row r="1098" ht="15.75" customHeight="1">
      <c r="A1098" s="5" t="s">
        <v>2095</v>
      </c>
      <c r="B1098" s="6" t="s">
        <v>2096</v>
      </c>
      <c r="C1098" s="6">
        <f t="shared" si="1"/>
        <v>8239</v>
      </c>
      <c r="D1098" s="6">
        <f t="shared" si="62"/>
        <v>64</v>
      </c>
      <c r="E1098" s="7">
        <v>0.0</v>
      </c>
      <c r="F1098" s="8"/>
      <c r="G1098" s="6">
        <f t="shared" si="3"/>
        <v>7951</v>
      </c>
      <c r="H1098" s="6">
        <f t="shared" si="4"/>
        <v>11885</v>
      </c>
      <c r="I1098" s="6">
        <f t="shared" si="5"/>
        <v>22065</v>
      </c>
      <c r="J1098" s="6">
        <f t="shared" si="6"/>
        <v>74070</v>
      </c>
      <c r="K1098" s="9"/>
      <c r="L1098" s="9"/>
      <c r="M1098" s="9"/>
      <c r="N1098" s="9">
        <f t="shared" si="7"/>
        <v>8.99016871</v>
      </c>
      <c r="O1098" s="10">
        <f t="shared" si="8"/>
        <v>31.08665577</v>
      </c>
      <c r="P1098" s="9">
        <v>15.0</v>
      </c>
      <c r="Q1098" s="11" t="str">
        <f t="shared" si="9"/>
        <v>cobertura correcta</v>
      </c>
      <c r="R1098" s="12"/>
      <c r="S1098" s="8"/>
      <c r="T1098" s="12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</row>
    <row r="1099" ht="15.75" customHeight="1">
      <c r="A1099" s="5" t="s">
        <v>2097</v>
      </c>
      <c r="B1099" s="6" t="s">
        <v>2098</v>
      </c>
      <c r="C1099" s="6">
        <f t="shared" si="1"/>
        <v>7996</v>
      </c>
      <c r="D1099" s="6">
        <f t="shared" si="62"/>
        <v>124</v>
      </c>
      <c r="E1099" s="7">
        <v>0.0</v>
      </c>
      <c r="F1099" s="8"/>
      <c r="G1099" s="6">
        <f t="shared" si="3"/>
        <v>2014</v>
      </c>
      <c r="H1099" s="6">
        <f t="shared" si="4"/>
        <v>11575</v>
      </c>
      <c r="I1099" s="6">
        <f t="shared" si="5"/>
        <v>22618</v>
      </c>
      <c r="J1099" s="6">
        <f t="shared" si="6"/>
        <v>73968</v>
      </c>
      <c r="K1099" s="9"/>
      <c r="L1099" s="9"/>
      <c r="M1099" s="9"/>
      <c r="N1099" s="9">
        <f t="shared" si="7"/>
        <v>9.250625313</v>
      </c>
      <c r="O1099" s="10">
        <f t="shared" si="8"/>
        <v>119.1062562</v>
      </c>
      <c r="P1099" s="9">
        <v>15.0</v>
      </c>
      <c r="Q1099" s="11" t="str">
        <f t="shared" si="9"/>
        <v>cobertura correcta</v>
      </c>
      <c r="R1099" s="12"/>
      <c r="S1099" s="8"/>
      <c r="T1099" s="12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</row>
    <row r="1100" ht="15.75" customHeight="1">
      <c r="A1100" s="5" t="s">
        <v>2099</v>
      </c>
      <c r="B1100" s="6" t="s">
        <v>2100</v>
      </c>
      <c r="C1100" s="6">
        <f t="shared" si="1"/>
        <v>3784</v>
      </c>
      <c r="D1100" s="6">
        <f t="shared" si="62"/>
        <v>108</v>
      </c>
      <c r="E1100" s="7">
        <v>0.0</v>
      </c>
      <c r="F1100" s="8"/>
      <c r="G1100" s="6">
        <f t="shared" si="3"/>
        <v>1695</v>
      </c>
      <c r="H1100" s="6">
        <f t="shared" si="4"/>
        <v>10669</v>
      </c>
      <c r="I1100" s="6">
        <f t="shared" si="5"/>
        <v>25672</v>
      </c>
      <c r="J1100" s="6">
        <f t="shared" si="6"/>
        <v>50164</v>
      </c>
      <c r="K1100" s="9"/>
      <c r="L1100" s="9"/>
      <c r="M1100" s="9"/>
      <c r="N1100" s="9">
        <f t="shared" si="7"/>
        <v>13.25687104</v>
      </c>
      <c r="O1100" s="10">
        <f t="shared" si="8"/>
        <v>66.97345133</v>
      </c>
      <c r="P1100" s="9">
        <v>15.0</v>
      </c>
      <c r="Q1100" s="11" t="str">
        <f t="shared" si="9"/>
        <v>cobertura correcta</v>
      </c>
      <c r="R1100" s="12"/>
      <c r="S1100" s="8"/>
      <c r="T1100" s="12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</row>
    <row r="1101" ht="15.75" customHeight="1">
      <c r="A1101" s="5" t="s">
        <v>2101</v>
      </c>
      <c r="B1101" s="6" t="s">
        <v>2102</v>
      </c>
      <c r="C1101" s="6">
        <f t="shared" si="1"/>
        <v>6323</v>
      </c>
      <c r="D1101" s="6">
        <f t="shared" si="62"/>
        <v>145</v>
      </c>
      <c r="E1101" s="7">
        <v>0.0</v>
      </c>
      <c r="F1101" s="8"/>
      <c r="G1101" s="6">
        <f t="shared" si="3"/>
        <v>2464</v>
      </c>
      <c r="H1101" s="6">
        <f t="shared" si="4"/>
        <v>16320</v>
      </c>
      <c r="I1101" s="6">
        <f t="shared" si="5"/>
        <v>21039</v>
      </c>
      <c r="J1101" s="6">
        <f t="shared" si="6"/>
        <v>33916</v>
      </c>
      <c r="K1101" s="9"/>
      <c r="L1101" s="9"/>
      <c r="M1101" s="9"/>
      <c r="N1101" s="9">
        <f t="shared" si="7"/>
        <v>5.363909537</v>
      </c>
      <c r="O1101" s="10">
        <f t="shared" si="8"/>
        <v>76.98457792</v>
      </c>
      <c r="P1101" s="9">
        <v>15.0</v>
      </c>
      <c r="Q1101" s="11" t="str">
        <f t="shared" si="9"/>
        <v>cobertura correcta</v>
      </c>
      <c r="R1101" s="12"/>
      <c r="S1101" s="8"/>
      <c r="T1101" s="12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</row>
    <row r="1102" ht="15.75" customHeight="1">
      <c r="A1102" s="5" t="s">
        <v>2103</v>
      </c>
      <c r="B1102" s="6" t="s">
        <v>2104</v>
      </c>
      <c r="C1102" s="6">
        <f t="shared" si="1"/>
        <v>2436</v>
      </c>
      <c r="D1102" s="6">
        <f t="shared" si="62"/>
        <v>156</v>
      </c>
      <c r="E1102" s="7">
        <v>0.0</v>
      </c>
      <c r="F1102" s="8"/>
      <c r="G1102" s="6">
        <f t="shared" si="3"/>
        <v>1559</v>
      </c>
      <c r="H1102" s="6">
        <f t="shared" si="4"/>
        <v>14783</v>
      </c>
      <c r="I1102" s="6">
        <f t="shared" si="5"/>
        <v>26483</v>
      </c>
      <c r="J1102" s="6">
        <f t="shared" si="6"/>
        <v>97255</v>
      </c>
      <c r="K1102" s="9"/>
      <c r="L1102" s="9"/>
      <c r="M1102" s="9"/>
      <c r="N1102" s="9">
        <f t="shared" si="7"/>
        <v>39.92405583</v>
      </c>
      <c r="O1102" s="10">
        <f t="shared" si="8"/>
        <v>46.87620269</v>
      </c>
      <c r="P1102" s="9">
        <v>7.0</v>
      </c>
      <c r="Q1102" s="11" t="str">
        <f t="shared" si="9"/>
        <v>cobertura correcta</v>
      </c>
      <c r="R1102" s="12"/>
      <c r="S1102" s="8"/>
      <c r="T1102" s="12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</row>
    <row r="1103" ht="15.75" customHeight="1">
      <c r="A1103" s="5" t="s">
        <v>2105</v>
      </c>
      <c r="B1103" s="6" t="s">
        <v>2106</v>
      </c>
      <c r="C1103" s="6">
        <f t="shared" si="1"/>
        <v>8479</v>
      </c>
      <c r="D1103" s="6">
        <f t="shared" si="62"/>
        <v>85</v>
      </c>
      <c r="E1103" s="7">
        <v>0.0</v>
      </c>
      <c r="F1103" s="8"/>
      <c r="G1103" s="6">
        <f t="shared" si="3"/>
        <v>8454</v>
      </c>
      <c r="H1103" s="6">
        <f t="shared" si="4"/>
        <v>14148</v>
      </c>
      <c r="I1103" s="6">
        <f t="shared" si="5"/>
        <v>21593</v>
      </c>
      <c r="J1103" s="6">
        <f t="shared" si="6"/>
        <v>41462</v>
      </c>
      <c r="K1103" s="9"/>
      <c r="L1103" s="9"/>
      <c r="M1103" s="9"/>
      <c r="N1103" s="9">
        <f t="shared" si="7"/>
        <v>4.889963439</v>
      </c>
      <c r="O1103" s="10">
        <f t="shared" si="8"/>
        <v>30.0887154</v>
      </c>
      <c r="P1103" s="9">
        <v>7.0</v>
      </c>
      <c r="Q1103" s="11" t="str">
        <f t="shared" si="9"/>
        <v>cobertura correcta</v>
      </c>
      <c r="R1103" s="12"/>
      <c r="S1103" s="8"/>
      <c r="T1103" s="12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</row>
    <row r="1104" ht="15.75" customHeight="1">
      <c r="A1104" s="5" t="s">
        <v>2107</v>
      </c>
      <c r="B1104" s="6" t="s">
        <v>2108</v>
      </c>
      <c r="C1104" s="6">
        <f t="shared" si="1"/>
        <v>6718</v>
      </c>
      <c r="D1104" s="6">
        <f t="shared" si="62"/>
        <v>89</v>
      </c>
      <c r="E1104" s="7">
        <v>0.0</v>
      </c>
      <c r="F1104" s="8"/>
      <c r="G1104" s="6">
        <f t="shared" si="3"/>
        <v>1304</v>
      </c>
      <c r="H1104" s="6">
        <f t="shared" si="4"/>
        <v>17439</v>
      </c>
      <c r="I1104" s="6">
        <f t="shared" si="5"/>
        <v>28375</v>
      </c>
      <c r="J1104" s="6">
        <f t="shared" si="6"/>
        <v>85010</v>
      </c>
      <c r="K1104" s="9"/>
      <c r="L1104" s="9"/>
      <c r="M1104" s="9"/>
      <c r="N1104" s="9">
        <f t="shared" si="7"/>
        <v>12.65406371</v>
      </c>
      <c r="O1104" s="10">
        <f t="shared" si="8"/>
        <v>154.5552147</v>
      </c>
      <c r="P1104" s="9">
        <v>7.0</v>
      </c>
      <c r="Q1104" s="11" t="str">
        <f t="shared" si="9"/>
        <v>cobertura correcta</v>
      </c>
      <c r="R1104" s="12"/>
      <c r="S1104" s="8"/>
      <c r="T1104" s="12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</row>
    <row r="1105" ht="15.75" customHeight="1">
      <c r="A1105" s="5" t="s">
        <v>2109</v>
      </c>
      <c r="B1105" s="6" t="s">
        <v>2110</v>
      </c>
      <c r="C1105" s="6">
        <f t="shared" si="1"/>
        <v>2765</v>
      </c>
      <c r="D1105" s="6">
        <f t="shared" si="62"/>
        <v>188</v>
      </c>
      <c r="E1105" s="7">
        <v>0.0</v>
      </c>
      <c r="F1105" s="8"/>
      <c r="G1105" s="6">
        <f t="shared" si="3"/>
        <v>1284</v>
      </c>
      <c r="H1105" s="6">
        <f t="shared" si="4"/>
        <v>16610</v>
      </c>
      <c r="I1105" s="6">
        <f t="shared" si="5"/>
        <v>23796</v>
      </c>
      <c r="J1105" s="6">
        <f t="shared" si="6"/>
        <v>39831</v>
      </c>
      <c r="K1105" s="9"/>
      <c r="L1105" s="9"/>
      <c r="M1105" s="9"/>
      <c r="N1105" s="9">
        <f t="shared" si="7"/>
        <v>14.40542495</v>
      </c>
      <c r="O1105" s="10">
        <f t="shared" si="8"/>
        <v>64.60280374</v>
      </c>
      <c r="P1105" s="9">
        <v>7.0</v>
      </c>
      <c r="Q1105" s="11" t="str">
        <f t="shared" si="9"/>
        <v>cobertura correcta</v>
      </c>
      <c r="R1105" s="12"/>
      <c r="S1105" s="8"/>
      <c r="T1105" s="12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</row>
    <row r="1106" ht="15.75" customHeight="1">
      <c r="A1106" s="5" t="s">
        <v>2111</v>
      </c>
      <c r="B1106" s="6" t="s">
        <v>2112</v>
      </c>
      <c r="C1106" s="6">
        <f t="shared" si="1"/>
        <v>2060</v>
      </c>
      <c r="D1106" s="6">
        <f t="shared" si="62"/>
        <v>38</v>
      </c>
      <c r="E1106" s="7">
        <v>0.0</v>
      </c>
      <c r="F1106" s="8"/>
      <c r="G1106" s="6">
        <f t="shared" si="3"/>
        <v>8461</v>
      </c>
      <c r="H1106" s="6">
        <f t="shared" si="4"/>
        <v>15205</v>
      </c>
      <c r="I1106" s="6">
        <f t="shared" si="5"/>
        <v>28150</v>
      </c>
      <c r="J1106" s="6">
        <f t="shared" si="6"/>
        <v>45480</v>
      </c>
      <c r="K1106" s="9"/>
      <c r="L1106" s="9"/>
      <c r="M1106" s="9"/>
      <c r="N1106" s="9">
        <f t="shared" si="7"/>
        <v>22.0776699</v>
      </c>
      <c r="O1106" s="10">
        <f t="shared" si="8"/>
        <v>7.30410117</v>
      </c>
      <c r="P1106" s="9">
        <v>20.0</v>
      </c>
      <c r="Q1106" s="11" t="str">
        <f t="shared" si="9"/>
        <v>¡Compra YA!</v>
      </c>
      <c r="R1106" s="12"/>
      <c r="S1106" s="8"/>
      <c r="T1106" s="12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</row>
    <row r="1107" ht="15.75" customHeight="1">
      <c r="A1107" s="5" t="s">
        <v>2113</v>
      </c>
      <c r="B1107" s="6" t="s">
        <v>2114</v>
      </c>
      <c r="C1107" s="6">
        <f t="shared" si="1"/>
        <v>1835</v>
      </c>
      <c r="D1107" s="6">
        <f t="shared" si="62"/>
        <v>156</v>
      </c>
      <c r="E1107" s="7">
        <v>0.0</v>
      </c>
      <c r="F1107" s="8"/>
      <c r="G1107" s="6">
        <f t="shared" si="3"/>
        <v>8708</v>
      </c>
      <c r="H1107" s="6">
        <f t="shared" si="4"/>
        <v>11706</v>
      </c>
      <c r="I1107" s="6">
        <f t="shared" si="5"/>
        <v>26179</v>
      </c>
      <c r="J1107" s="6">
        <f t="shared" si="6"/>
        <v>96635</v>
      </c>
      <c r="K1107" s="9"/>
      <c r="L1107" s="9"/>
      <c r="M1107" s="9"/>
      <c r="N1107" s="9">
        <f t="shared" si="7"/>
        <v>52.66212534</v>
      </c>
      <c r="O1107" s="10">
        <f t="shared" si="8"/>
        <v>6.321773082</v>
      </c>
      <c r="P1107" s="9">
        <v>7.0</v>
      </c>
      <c r="Q1107" s="11" t="str">
        <f t="shared" si="9"/>
        <v>¡Compra YA!</v>
      </c>
      <c r="R1107" s="12"/>
      <c r="S1107" s="8"/>
      <c r="T1107" s="12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</row>
    <row r="1108" ht="15.75" customHeight="1">
      <c r="A1108" s="5" t="s">
        <v>2115</v>
      </c>
      <c r="B1108" s="6" t="s">
        <v>2116</v>
      </c>
      <c r="C1108" s="6">
        <f t="shared" si="1"/>
        <v>8300</v>
      </c>
      <c r="D1108" s="6">
        <f t="shared" si="62"/>
        <v>64</v>
      </c>
      <c r="E1108" s="7">
        <v>0.0</v>
      </c>
      <c r="F1108" s="8"/>
      <c r="G1108" s="6">
        <f t="shared" si="3"/>
        <v>1198</v>
      </c>
      <c r="H1108" s="6">
        <f t="shared" si="4"/>
        <v>11358</v>
      </c>
      <c r="I1108" s="6">
        <f t="shared" si="5"/>
        <v>24503</v>
      </c>
      <c r="J1108" s="6">
        <f t="shared" si="6"/>
        <v>85333</v>
      </c>
      <c r="K1108" s="9"/>
      <c r="L1108" s="9"/>
      <c r="M1108" s="9"/>
      <c r="N1108" s="9">
        <f t="shared" si="7"/>
        <v>10.28108434</v>
      </c>
      <c r="O1108" s="10">
        <f t="shared" si="8"/>
        <v>207.8464107</v>
      </c>
      <c r="P1108" s="9">
        <v>7.0</v>
      </c>
      <c r="Q1108" s="11" t="str">
        <f t="shared" si="9"/>
        <v>cobertura correcta</v>
      </c>
      <c r="R1108" s="12"/>
      <c r="S1108" s="8"/>
      <c r="T1108" s="12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</row>
    <row r="1109" ht="15.75" customHeight="1">
      <c r="A1109" s="5" t="s">
        <v>2117</v>
      </c>
      <c r="B1109" s="6" t="s">
        <v>2118</v>
      </c>
      <c r="C1109" s="6">
        <f t="shared" si="1"/>
        <v>1760</v>
      </c>
      <c r="D1109" s="6">
        <f t="shared" si="62"/>
        <v>106</v>
      </c>
      <c r="E1109" s="7">
        <v>0.0</v>
      </c>
      <c r="F1109" s="8"/>
      <c r="G1109" s="6">
        <f t="shared" si="3"/>
        <v>3067</v>
      </c>
      <c r="H1109" s="6">
        <f t="shared" si="4"/>
        <v>15653</v>
      </c>
      <c r="I1109" s="6">
        <f t="shared" si="5"/>
        <v>26809</v>
      </c>
      <c r="J1109" s="6">
        <f t="shared" si="6"/>
        <v>91185</v>
      </c>
      <c r="K1109" s="9"/>
      <c r="L1109" s="9"/>
      <c r="M1109" s="9"/>
      <c r="N1109" s="9">
        <f t="shared" si="7"/>
        <v>51.80965909</v>
      </c>
      <c r="O1109" s="10">
        <f t="shared" si="8"/>
        <v>17.21552005</v>
      </c>
      <c r="P1109" s="9">
        <v>15.0</v>
      </c>
      <c r="Q1109" s="11" t="str">
        <f t="shared" si="9"/>
        <v>cobertura correcta</v>
      </c>
      <c r="R1109" s="12"/>
      <c r="S1109" s="8"/>
      <c r="T1109" s="12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</row>
    <row r="1110" ht="15.75" customHeight="1">
      <c r="A1110" s="5" t="s">
        <v>2119</v>
      </c>
      <c r="B1110" s="6" t="s">
        <v>2120</v>
      </c>
      <c r="C1110" s="6">
        <f t="shared" si="1"/>
        <v>7456</v>
      </c>
      <c r="D1110" s="6">
        <f t="shared" si="62"/>
        <v>174</v>
      </c>
      <c r="E1110" s="7">
        <v>0.0</v>
      </c>
      <c r="F1110" s="8"/>
      <c r="G1110" s="6">
        <f t="shared" si="3"/>
        <v>6766</v>
      </c>
      <c r="H1110" s="6">
        <f t="shared" si="4"/>
        <v>16882</v>
      </c>
      <c r="I1110" s="6">
        <f t="shared" si="5"/>
        <v>27640</v>
      </c>
      <c r="J1110" s="6">
        <f t="shared" si="6"/>
        <v>47638</v>
      </c>
      <c r="K1110" s="9"/>
      <c r="L1110" s="9"/>
      <c r="M1110" s="9"/>
      <c r="N1110" s="9">
        <f t="shared" si="7"/>
        <v>6.389216738</v>
      </c>
      <c r="O1110" s="10">
        <f t="shared" si="8"/>
        <v>33.05941472</v>
      </c>
      <c r="P1110" s="9">
        <v>15.0</v>
      </c>
      <c r="Q1110" s="11" t="str">
        <f t="shared" si="9"/>
        <v>cobertura correcta</v>
      </c>
      <c r="R1110" s="12"/>
      <c r="S1110" s="8"/>
      <c r="T1110" s="12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</row>
    <row r="1111" ht="15.75" customHeight="1">
      <c r="A1111" s="5" t="s">
        <v>2121</v>
      </c>
      <c r="B1111" s="6" t="s">
        <v>2122</v>
      </c>
      <c r="C1111" s="6">
        <f t="shared" si="1"/>
        <v>7062</v>
      </c>
      <c r="D1111" s="6">
        <f t="shared" si="62"/>
        <v>188</v>
      </c>
      <c r="E1111" s="7">
        <v>0.0</v>
      </c>
      <c r="F1111" s="8"/>
      <c r="G1111" s="6">
        <f t="shared" si="3"/>
        <v>5801</v>
      </c>
      <c r="H1111" s="6">
        <f t="shared" si="4"/>
        <v>15915</v>
      </c>
      <c r="I1111" s="6">
        <f t="shared" si="5"/>
        <v>23168</v>
      </c>
      <c r="J1111" s="6">
        <f t="shared" si="6"/>
        <v>80345</v>
      </c>
      <c r="K1111" s="9"/>
      <c r="L1111" s="9"/>
      <c r="M1111" s="9"/>
      <c r="N1111" s="9">
        <f t="shared" si="7"/>
        <v>11.37708864</v>
      </c>
      <c r="O1111" s="10">
        <f t="shared" si="8"/>
        <v>36.52128943</v>
      </c>
      <c r="P1111" s="9">
        <v>7.0</v>
      </c>
      <c r="Q1111" s="11" t="str">
        <f t="shared" si="9"/>
        <v>cobertura correcta</v>
      </c>
      <c r="R1111" s="12"/>
      <c r="S1111" s="8"/>
      <c r="T1111" s="12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ht="15.75" customHeight="1">
      <c r="A1112" s="5" t="s">
        <v>2123</v>
      </c>
      <c r="B1112" s="6" t="s">
        <v>2124</v>
      </c>
      <c r="C1112" s="6">
        <f t="shared" si="1"/>
        <v>5706</v>
      </c>
      <c r="D1112" s="6">
        <f t="shared" si="62"/>
        <v>24</v>
      </c>
      <c r="E1112" s="7">
        <v>0.0</v>
      </c>
      <c r="F1112" s="8"/>
      <c r="G1112" s="6">
        <f t="shared" si="3"/>
        <v>8139</v>
      </c>
      <c r="H1112" s="6">
        <f t="shared" si="4"/>
        <v>16698</v>
      </c>
      <c r="I1112" s="6">
        <f t="shared" si="5"/>
        <v>27211</v>
      </c>
      <c r="J1112" s="6">
        <f t="shared" si="6"/>
        <v>82901</v>
      </c>
      <c r="K1112" s="9"/>
      <c r="L1112" s="9"/>
      <c r="M1112" s="9"/>
      <c r="N1112" s="9">
        <f t="shared" si="7"/>
        <v>14.52874168</v>
      </c>
      <c r="O1112" s="10">
        <f t="shared" si="8"/>
        <v>21.03206782</v>
      </c>
      <c r="P1112" s="9">
        <v>20.0</v>
      </c>
      <c r="Q1112" s="11" t="str">
        <f t="shared" si="9"/>
        <v>cobertura correcta</v>
      </c>
      <c r="R1112" s="12"/>
      <c r="S1112" s="8"/>
      <c r="T1112" s="12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</row>
    <row r="1113" ht="15.75" customHeight="1">
      <c r="A1113" s="5" t="s">
        <v>2125</v>
      </c>
      <c r="B1113" s="6" t="s">
        <v>2126</v>
      </c>
      <c r="C1113" s="6">
        <f t="shared" si="1"/>
        <v>2521</v>
      </c>
      <c r="D1113" s="6">
        <f t="shared" si="62"/>
        <v>62</v>
      </c>
      <c r="E1113" s="7">
        <v>0.0</v>
      </c>
      <c r="F1113" s="8"/>
      <c r="G1113" s="6">
        <f t="shared" si="3"/>
        <v>3891</v>
      </c>
      <c r="H1113" s="6">
        <f t="shared" si="4"/>
        <v>9217</v>
      </c>
      <c r="I1113" s="6">
        <f t="shared" si="5"/>
        <v>25065</v>
      </c>
      <c r="J1113" s="6">
        <f t="shared" si="6"/>
        <v>46830</v>
      </c>
      <c r="K1113" s="9"/>
      <c r="L1113" s="9"/>
      <c r="M1113" s="9"/>
      <c r="N1113" s="9">
        <f t="shared" si="7"/>
        <v>18.57596192</v>
      </c>
      <c r="O1113" s="10">
        <f t="shared" si="8"/>
        <v>19.43716268</v>
      </c>
      <c r="P1113" s="9">
        <v>7.0</v>
      </c>
      <c r="Q1113" s="11" t="str">
        <f t="shared" si="9"/>
        <v>cobertura correcta</v>
      </c>
      <c r="R1113" s="12"/>
      <c r="S1113" s="8"/>
      <c r="T1113" s="12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</row>
    <row r="1114" ht="15.75" customHeight="1">
      <c r="A1114" s="5" t="s">
        <v>2127</v>
      </c>
      <c r="B1114" s="6"/>
      <c r="C1114" s="6">
        <f t="shared" si="1"/>
        <v>3233</v>
      </c>
      <c r="D1114" s="6">
        <f t="shared" si="62"/>
        <v>37</v>
      </c>
      <c r="E1114" s="7">
        <v>0.0</v>
      </c>
      <c r="F1114" s="8"/>
      <c r="G1114" s="6">
        <f t="shared" si="3"/>
        <v>5717</v>
      </c>
      <c r="H1114" s="6">
        <f t="shared" si="4"/>
        <v>18331</v>
      </c>
      <c r="I1114" s="6">
        <f t="shared" si="5"/>
        <v>24464</v>
      </c>
      <c r="J1114" s="6">
        <f t="shared" si="6"/>
        <v>80925</v>
      </c>
      <c r="K1114" s="9"/>
      <c r="L1114" s="9"/>
      <c r="M1114" s="9"/>
      <c r="N1114" s="9">
        <f t="shared" si="7"/>
        <v>25.03093102</v>
      </c>
      <c r="O1114" s="10">
        <f t="shared" si="8"/>
        <v>16.96519153</v>
      </c>
      <c r="P1114" s="9">
        <v>7.0</v>
      </c>
      <c r="Q1114" s="11" t="str">
        <f t="shared" si="9"/>
        <v>cobertura correcta</v>
      </c>
      <c r="R1114" s="12"/>
      <c r="S1114" s="8"/>
      <c r="T1114" s="12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</row>
    <row r="1115" ht="15.75" customHeight="1">
      <c r="A1115" s="5" t="s">
        <v>2128</v>
      </c>
      <c r="B1115" s="6" t="s">
        <v>2129</v>
      </c>
      <c r="C1115" s="6">
        <f t="shared" si="1"/>
        <v>8692</v>
      </c>
      <c r="D1115" s="6">
        <f t="shared" si="62"/>
        <v>178</v>
      </c>
      <c r="E1115" s="7">
        <v>0.0</v>
      </c>
      <c r="F1115" s="8"/>
      <c r="G1115" s="6">
        <f t="shared" si="3"/>
        <v>3107</v>
      </c>
      <c r="H1115" s="6">
        <f t="shared" si="4"/>
        <v>16158</v>
      </c>
      <c r="I1115" s="6">
        <f t="shared" si="5"/>
        <v>22722</v>
      </c>
      <c r="J1115" s="6">
        <f t="shared" si="6"/>
        <v>44325</v>
      </c>
      <c r="K1115" s="9"/>
      <c r="L1115" s="9"/>
      <c r="M1115" s="9"/>
      <c r="N1115" s="9">
        <f t="shared" si="7"/>
        <v>5.099516797</v>
      </c>
      <c r="O1115" s="10">
        <f t="shared" si="8"/>
        <v>83.92661732</v>
      </c>
      <c r="P1115" s="9">
        <v>7.0</v>
      </c>
      <c r="Q1115" s="11" t="str">
        <f t="shared" si="9"/>
        <v>cobertura correcta</v>
      </c>
      <c r="R1115" s="12"/>
      <c r="S1115" s="8"/>
      <c r="T1115" s="12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ht="15.75" customHeight="1">
      <c r="A1116" s="5" t="s">
        <v>2130</v>
      </c>
      <c r="B1116" s="6" t="s">
        <v>2131</v>
      </c>
      <c r="C1116" s="6">
        <f t="shared" si="1"/>
        <v>1405</v>
      </c>
      <c r="D1116" s="6">
        <f t="shared" si="62"/>
        <v>12</v>
      </c>
      <c r="E1116" s="7">
        <v>0.0</v>
      </c>
      <c r="F1116" s="8"/>
      <c r="G1116" s="6">
        <f t="shared" si="3"/>
        <v>5147</v>
      </c>
      <c r="H1116" s="6">
        <f t="shared" si="4"/>
        <v>14582</v>
      </c>
      <c r="I1116" s="6">
        <f t="shared" si="5"/>
        <v>22780</v>
      </c>
      <c r="J1116" s="6">
        <f t="shared" si="6"/>
        <v>56568</v>
      </c>
      <c r="K1116" s="9"/>
      <c r="L1116" s="9"/>
      <c r="M1116" s="9"/>
      <c r="N1116" s="9">
        <f t="shared" si="7"/>
        <v>40.26192171</v>
      </c>
      <c r="O1116" s="10">
        <f t="shared" si="8"/>
        <v>8.189236448</v>
      </c>
      <c r="P1116" s="9">
        <v>20.0</v>
      </c>
      <c r="Q1116" s="11" t="str">
        <f t="shared" si="9"/>
        <v>¡Compra YA!</v>
      </c>
      <c r="R1116" s="12"/>
      <c r="S1116" s="8"/>
      <c r="T1116" s="12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</row>
    <row r="1117" ht="15.75" customHeight="1">
      <c r="A1117" s="5" t="s">
        <v>2132</v>
      </c>
      <c r="B1117" s="6" t="s">
        <v>2133</v>
      </c>
      <c r="C1117" s="6">
        <f t="shared" si="1"/>
        <v>6052</v>
      </c>
      <c r="D1117" s="6">
        <f t="shared" si="62"/>
        <v>186</v>
      </c>
      <c r="E1117" s="7">
        <v>0.0</v>
      </c>
      <c r="F1117" s="8"/>
      <c r="G1117" s="6">
        <f t="shared" si="3"/>
        <v>5605</v>
      </c>
      <c r="H1117" s="6">
        <f t="shared" si="4"/>
        <v>12649</v>
      </c>
      <c r="I1117" s="6">
        <f t="shared" si="5"/>
        <v>25971</v>
      </c>
      <c r="J1117" s="6">
        <f t="shared" si="6"/>
        <v>73847</v>
      </c>
      <c r="K1117" s="9"/>
      <c r="L1117" s="9"/>
      <c r="M1117" s="9"/>
      <c r="N1117" s="9">
        <f t="shared" si="7"/>
        <v>12.20208196</v>
      </c>
      <c r="O1117" s="10">
        <f t="shared" si="8"/>
        <v>32.39250669</v>
      </c>
      <c r="P1117" s="9">
        <v>7.0</v>
      </c>
      <c r="Q1117" s="11" t="str">
        <f t="shared" si="9"/>
        <v>cobertura correcta</v>
      </c>
      <c r="R1117" s="12"/>
      <c r="S1117" s="8"/>
      <c r="T1117" s="12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</row>
    <row r="1118" ht="15.75" customHeight="1">
      <c r="A1118" s="5" t="s">
        <v>2134</v>
      </c>
      <c r="B1118" s="6" t="s">
        <v>2135</v>
      </c>
      <c r="C1118" s="6">
        <f t="shared" si="1"/>
        <v>5507</v>
      </c>
      <c r="D1118" s="6">
        <f t="shared" si="62"/>
        <v>20</v>
      </c>
      <c r="E1118" s="7">
        <v>0.0</v>
      </c>
      <c r="F1118" s="8"/>
      <c r="G1118" s="6">
        <f t="shared" si="3"/>
        <v>6172</v>
      </c>
      <c r="H1118" s="6">
        <f t="shared" si="4"/>
        <v>15198</v>
      </c>
      <c r="I1118" s="6">
        <f t="shared" si="5"/>
        <v>21224</v>
      </c>
      <c r="J1118" s="6">
        <f t="shared" si="6"/>
        <v>44440</v>
      </c>
      <c r="K1118" s="9"/>
      <c r="L1118" s="9"/>
      <c r="M1118" s="9"/>
      <c r="N1118" s="9">
        <f t="shared" si="7"/>
        <v>8.069729435</v>
      </c>
      <c r="O1118" s="10">
        <f t="shared" si="8"/>
        <v>26.7676604</v>
      </c>
      <c r="P1118" s="9">
        <v>7.0</v>
      </c>
      <c r="Q1118" s="11" t="str">
        <f t="shared" si="9"/>
        <v>cobertura correcta</v>
      </c>
      <c r="R1118" s="12"/>
      <c r="S1118" s="8"/>
      <c r="T1118" s="12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</row>
    <row r="1119" ht="15.75" customHeight="1">
      <c r="A1119" s="5" t="s">
        <v>2136</v>
      </c>
      <c r="B1119" s="6" t="s">
        <v>2137</v>
      </c>
      <c r="C1119" s="6">
        <f t="shared" si="1"/>
        <v>2041</v>
      </c>
      <c r="D1119" s="6">
        <f t="shared" si="62"/>
        <v>110</v>
      </c>
      <c r="E1119" s="7">
        <v>0.0</v>
      </c>
      <c r="F1119" s="8"/>
      <c r="G1119" s="6">
        <f t="shared" si="3"/>
        <v>2718</v>
      </c>
      <c r="H1119" s="6">
        <f t="shared" si="4"/>
        <v>14490</v>
      </c>
      <c r="I1119" s="6">
        <f t="shared" si="5"/>
        <v>24874</v>
      </c>
      <c r="J1119" s="6">
        <f t="shared" si="6"/>
        <v>88189</v>
      </c>
      <c r="K1119" s="9"/>
      <c r="L1119" s="9"/>
      <c r="M1119" s="9"/>
      <c r="N1119" s="9">
        <f t="shared" si="7"/>
        <v>43.20872122</v>
      </c>
      <c r="O1119" s="10">
        <f t="shared" si="8"/>
        <v>22.52759382</v>
      </c>
      <c r="P1119" s="9">
        <v>7.0</v>
      </c>
      <c r="Q1119" s="11" t="str">
        <f t="shared" si="9"/>
        <v>cobertura correcta</v>
      </c>
      <c r="R1119" s="12"/>
      <c r="S1119" s="8"/>
      <c r="T1119" s="12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</row>
    <row r="1120" ht="15.75" customHeight="1">
      <c r="A1120" s="5" t="s">
        <v>2138</v>
      </c>
      <c r="B1120" s="6" t="s">
        <v>2139</v>
      </c>
      <c r="C1120" s="6">
        <f t="shared" si="1"/>
        <v>2716</v>
      </c>
      <c r="D1120" s="6">
        <f t="shared" si="62"/>
        <v>16</v>
      </c>
      <c r="E1120" s="7">
        <v>0.0</v>
      </c>
      <c r="F1120" s="8"/>
      <c r="G1120" s="6">
        <f t="shared" si="3"/>
        <v>7849</v>
      </c>
      <c r="H1120" s="6">
        <f t="shared" si="4"/>
        <v>12209</v>
      </c>
      <c r="I1120" s="6">
        <f t="shared" si="5"/>
        <v>19749</v>
      </c>
      <c r="J1120" s="6">
        <f t="shared" si="6"/>
        <v>61822</v>
      </c>
      <c r="K1120" s="9"/>
      <c r="L1120" s="9"/>
      <c r="M1120" s="9"/>
      <c r="N1120" s="9">
        <f t="shared" si="7"/>
        <v>22.76215022</v>
      </c>
      <c r="O1120" s="10">
        <f t="shared" si="8"/>
        <v>10.38094025</v>
      </c>
      <c r="P1120" s="9">
        <v>7.0</v>
      </c>
      <c r="Q1120" s="11" t="str">
        <f t="shared" si="9"/>
        <v>cobertura correcta</v>
      </c>
      <c r="R1120" s="12"/>
      <c r="S1120" s="8"/>
      <c r="T1120" s="12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</row>
    <row r="1121" ht="15.75" customHeight="1">
      <c r="A1121" s="5" t="s">
        <v>2140</v>
      </c>
      <c r="B1121" s="6" t="s">
        <v>2141</v>
      </c>
      <c r="C1121" s="6">
        <f t="shared" si="1"/>
        <v>6259</v>
      </c>
      <c r="D1121" s="6">
        <f t="shared" si="62"/>
        <v>183</v>
      </c>
      <c r="E1121" s="7">
        <v>0.0</v>
      </c>
      <c r="F1121" s="8"/>
      <c r="G1121" s="6">
        <f t="shared" si="3"/>
        <v>1170</v>
      </c>
      <c r="H1121" s="6">
        <f t="shared" si="4"/>
        <v>15915</v>
      </c>
      <c r="I1121" s="6">
        <f t="shared" si="5"/>
        <v>23057</v>
      </c>
      <c r="J1121" s="6">
        <f t="shared" si="6"/>
        <v>48293</v>
      </c>
      <c r="K1121" s="9"/>
      <c r="L1121" s="9"/>
      <c r="M1121" s="9"/>
      <c r="N1121" s="9">
        <f t="shared" si="7"/>
        <v>7.715769292</v>
      </c>
      <c r="O1121" s="10">
        <f t="shared" si="8"/>
        <v>160.4871795</v>
      </c>
      <c r="P1121" s="9">
        <v>7.0</v>
      </c>
      <c r="Q1121" s="11" t="str">
        <f t="shared" si="9"/>
        <v>cobertura correcta</v>
      </c>
      <c r="R1121" s="12"/>
      <c r="S1121" s="8"/>
      <c r="T1121" s="12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</row>
    <row r="1122" ht="15.75" customHeight="1">
      <c r="A1122" s="5" t="s">
        <v>2142</v>
      </c>
      <c r="B1122" s="6" t="s">
        <v>2143</v>
      </c>
      <c r="C1122" s="6">
        <f t="shared" si="1"/>
        <v>5453</v>
      </c>
      <c r="D1122" s="6">
        <f t="shared" si="62"/>
        <v>151</v>
      </c>
      <c r="E1122" s="7">
        <v>0.0</v>
      </c>
      <c r="F1122" s="8"/>
      <c r="G1122" s="6">
        <f t="shared" si="3"/>
        <v>7306</v>
      </c>
      <c r="H1122" s="6">
        <f t="shared" si="4"/>
        <v>12837</v>
      </c>
      <c r="I1122" s="6">
        <f t="shared" si="5"/>
        <v>25931</v>
      </c>
      <c r="J1122" s="6">
        <f t="shared" si="6"/>
        <v>35042</v>
      </c>
      <c r="K1122" s="9"/>
      <c r="L1122" s="9"/>
      <c r="M1122" s="9"/>
      <c r="N1122" s="9">
        <f t="shared" si="7"/>
        <v>6.42618742</v>
      </c>
      <c r="O1122" s="10">
        <f t="shared" si="8"/>
        <v>22.39118533</v>
      </c>
      <c r="P1122" s="9">
        <v>7.0</v>
      </c>
      <c r="Q1122" s="11" t="str">
        <f t="shared" si="9"/>
        <v>cobertura correcta</v>
      </c>
      <c r="R1122" s="12"/>
      <c r="S1122" s="8"/>
      <c r="T1122" s="12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</row>
    <row r="1123" ht="15.75" customHeight="1">
      <c r="A1123" s="5" t="s">
        <v>2144</v>
      </c>
      <c r="B1123" s="6" t="s">
        <v>2145</v>
      </c>
      <c r="C1123" s="6">
        <f t="shared" si="1"/>
        <v>6487</v>
      </c>
      <c r="D1123" s="6">
        <f t="shared" si="62"/>
        <v>171</v>
      </c>
      <c r="E1123" s="7">
        <v>0.0</v>
      </c>
      <c r="F1123" s="8"/>
      <c r="G1123" s="6">
        <f t="shared" si="3"/>
        <v>4879</v>
      </c>
      <c r="H1123" s="6">
        <f t="shared" si="4"/>
        <v>14527</v>
      </c>
      <c r="I1123" s="6">
        <f t="shared" si="5"/>
        <v>21812</v>
      </c>
      <c r="J1123" s="6">
        <f t="shared" si="6"/>
        <v>35857</v>
      </c>
      <c r="K1123" s="9"/>
      <c r="L1123" s="9"/>
      <c r="M1123" s="9"/>
      <c r="N1123" s="9">
        <f t="shared" si="7"/>
        <v>5.527516572</v>
      </c>
      <c r="O1123" s="10">
        <f t="shared" si="8"/>
        <v>39.88727198</v>
      </c>
      <c r="P1123" s="9">
        <v>30.0</v>
      </c>
      <c r="Q1123" s="11" t="str">
        <f t="shared" si="9"/>
        <v>cobertura correcta</v>
      </c>
      <c r="R1123" s="12"/>
      <c r="S1123" s="8"/>
      <c r="T1123" s="12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</row>
    <row r="1124" ht="15.75" customHeight="1">
      <c r="A1124" s="5" t="s">
        <v>2146</v>
      </c>
      <c r="B1124" s="6" t="s">
        <v>2147</v>
      </c>
      <c r="C1124" s="6">
        <f t="shared" si="1"/>
        <v>4532</v>
      </c>
      <c r="D1124" s="6">
        <f t="shared" si="62"/>
        <v>75</v>
      </c>
      <c r="E1124" s="7">
        <v>0.0</v>
      </c>
      <c r="F1124" s="8"/>
      <c r="G1124" s="6">
        <f t="shared" si="3"/>
        <v>2757</v>
      </c>
      <c r="H1124" s="6">
        <f t="shared" si="4"/>
        <v>14059</v>
      </c>
      <c r="I1124" s="6">
        <f t="shared" si="5"/>
        <v>19659</v>
      </c>
      <c r="J1124" s="6">
        <f t="shared" si="6"/>
        <v>87296</v>
      </c>
      <c r="K1124" s="9"/>
      <c r="L1124" s="9"/>
      <c r="M1124" s="9"/>
      <c r="N1124" s="9">
        <f t="shared" si="7"/>
        <v>19.26213592</v>
      </c>
      <c r="O1124" s="10">
        <f t="shared" si="8"/>
        <v>49.31447225</v>
      </c>
      <c r="P1124" s="9">
        <v>7.0</v>
      </c>
      <c r="Q1124" s="11" t="str">
        <f t="shared" si="9"/>
        <v>cobertura correcta</v>
      </c>
      <c r="R1124" s="12"/>
      <c r="S1124" s="8"/>
      <c r="T1124" s="12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</row>
    <row r="1125" ht="15.75" customHeight="1">
      <c r="A1125" s="5" t="s">
        <v>2148</v>
      </c>
      <c r="B1125" s="6" t="s">
        <v>2149</v>
      </c>
      <c r="C1125" s="6">
        <f t="shared" si="1"/>
        <v>7714</v>
      </c>
      <c r="D1125" s="6">
        <f t="shared" si="62"/>
        <v>172</v>
      </c>
      <c r="E1125" s="7">
        <v>0.0</v>
      </c>
      <c r="F1125" s="8"/>
      <c r="G1125" s="6">
        <f t="shared" si="3"/>
        <v>5785</v>
      </c>
      <c r="H1125" s="6">
        <f t="shared" si="4"/>
        <v>11122</v>
      </c>
      <c r="I1125" s="6">
        <f t="shared" si="5"/>
        <v>20707</v>
      </c>
      <c r="J1125" s="6">
        <f t="shared" si="6"/>
        <v>83368</v>
      </c>
      <c r="K1125" s="9"/>
      <c r="L1125" s="9"/>
      <c r="M1125" s="9"/>
      <c r="N1125" s="9">
        <f t="shared" si="7"/>
        <v>10.80736324</v>
      </c>
      <c r="O1125" s="10">
        <f t="shared" si="8"/>
        <v>40.00345722</v>
      </c>
      <c r="P1125" s="9">
        <v>7.0</v>
      </c>
      <c r="Q1125" s="11" t="str">
        <f t="shared" si="9"/>
        <v>cobertura correcta</v>
      </c>
      <c r="R1125" s="12"/>
      <c r="S1125" s="8"/>
      <c r="T1125" s="12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</row>
    <row r="1126" ht="15.75" customHeight="1">
      <c r="A1126" s="5" t="s">
        <v>2150</v>
      </c>
      <c r="B1126" s="6" t="s">
        <v>2151</v>
      </c>
      <c r="C1126" s="6">
        <f t="shared" si="1"/>
        <v>2305</v>
      </c>
      <c r="D1126" s="6">
        <f t="shared" si="62"/>
        <v>40</v>
      </c>
      <c r="E1126" s="7">
        <v>0.0</v>
      </c>
      <c r="F1126" s="8"/>
      <c r="G1126" s="6">
        <f t="shared" si="3"/>
        <v>2755</v>
      </c>
      <c r="H1126" s="6">
        <f t="shared" si="4"/>
        <v>16341</v>
      </c>
      <c r="I1126" s="6">
        <f t="shared" si="5"/>
        <v>19141</v>
      </c>
      <c r="J1126" s="6">
        <f t="shared" si="6"/>
        <v>43396</v>
      </c>
      <c r="K1126" s="9"/>
      <c r="L1126" s="9"/>
      <c r="M1126" s="9"/>
      <c r="N1126" s="9">
        <f t="shared" si="7"/>
        <v>18.82689805</v>
      </c>
      <c r="O1126" s="10">
        <f t="shared" si="8"/>
        <v>25.09981851</v>
      </c>
      <c r="P1126" s="9">
        <v>15.0</v>
      </c>
      <c r="Q1126" s="11" t="str">
        <f t="shared" si="9"/>
        <v>cobertura correcta</v>
      </c>
      <c r="R1126" s="12"/>
      <c r="S1126" s="8"/>
      <c r="T1126" s="12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</row>
    <row r="1127" ht="15.75" customHeight="1">
      <c r="A1127" s="5" t="s">
        <v>2152</v>
      </c>
      <c r="B1127" s="6" t="s">
        <v>2153</v>
      </c>
      <c r="C1127" s="6">
        <f t="shared" si="1"/>
        <v>3671</v>
      </c>
      <c r="D1127" s="6">
        <f t="shared" si="62"/>
        <v>102</v>
      </c>
      <c r="E1127" s="7">
        <v>0.0</v>
      </c>
      <c r="F1127" s="8"/>
      <c r="G1127" s="6">
        <f t="shared" si="3"/>
        <v>3343</v>
      </c>
      <c r="H1127" s="6">
        <f t="shared" si="4"/>
        <v>13510</v>
      </c>
      <c r="I1127" s="6">
        <f t="shared" si="5"/>
        <v>22313</v>
      </c>
      <c r="J1127" s="6">
        <f t="shared" si="6"/>
        <v>51035</v>
      </c>
      <c r="K1127" s="9"/>
      <c r="L1127" s="9"/>
      <c r="M1127" s="9"/>
      <c r="N1127" s="9">
        <f t="shared" si="7"/>
        <v>13.90220648</v>
      </c>
      <c r="O1127" s="10">
        <f t="shared" si="8"/>
        <v>32.94346395</v>
      </c>
      <c r="P1127" s="9">
        <v>7.0</v>
      </c>
      <c r="Q1127" s="11" t="str">
        <f t="shared" si="9"/>
        <v>cobertura correcta</v>
      </c>
      <c r="R1127" s="12"/>
      <c r="S1127" s="8"/>
      <c r="T1127" s="12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</row>
    <row r="1128" ht="15.75" customHeight="1">
      <c r="A1128" s="5" t="s">
        <v>2154</v>
      </c>
      <c r="B1128" s="6"/>
      <c r="C1128" s="6">
        <f t="shared" si="1"/>
        <v>7318</v>
      </c>
      <c r="D1128" s="6">
        <f t="shared" si="62"/>
        <v>188</v>
      </c>
      <c r="E1128" s="7">
        <v>0.0</v>
      </c>
      <c r="F1128" s="8"/>
      <c r="G1128" s="6">
        <f t="shared" si="3"/>
        <v>4192</v>
      </c>
      <c r="H1128" s="6">
        <f t="shared" si="4"/>
        <v>16142</v>
      </c>
      <c r="I1128" s="6">
        <f t="shared" si="5"/>
        <v>23592</v>
      </c>
      <c r="J1128" s="6">
        <f t="shared" si="6"/>
        <v>47735</v>
      </c>
      <c r="K1128" s="9"/>
      <c r="L1128" s="9"/>
      <c r="M1128" s="9"/>
      <c r="N1128" s="9">
        <f t="shared" si="7"/>
        <v>6.522957092</v>
      </c>
      <c r="O1128" s="10">
        <f t="shared" si="8"/>
        <v>52.37118321</v>
      </c>
      <c r="P1128" s="9">
        <v>7.0</v>
      </c>
      <c r="Q1128" s="11" t="str">
        <f t="shared" si="9"/>
        <v>cobertura correcta</v>
      </c>
      <c r="R1128" s="12"/>
      <c r="S1128" s="8"/>
      <c r="T1128" s="12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</row>
    <row r="1129" ht="15.75" customHeight="1">
      <c r="A1129" s="5" t="s">
        <v>2155</v>
      </c>
      <c r="B1129" s="6" t="s">
        <v>2156</v>
      </c>
      <c r="C1129" s="6">
        <f t="shared" si="1"/>
        <v>6757</v>
      </c>
      <c r="D1129" s="6">
        <f t="shared" si="62"/>
        <v>20</v>
      </c>
      <c r="E1129" s="7">
        <v>0.0</v>
      </c>
      <c r="F1129" s="8"/>
      <c r="G1129" s="6">
        <f t="shared" si="3"/>
        <v>7651</v>
      </c>
      <c r="H1129" s="6">
        <f t="shared" si="4"/>
        <v>12858</v>
      </c>
      <c r="I1129" s="6">
        <f t="shared" si="5"/>
        <v>28872</v>
      </c>
      <c r="J1129" s="6">
        <f t="shared" si="6"/>
        <v>33603</v>
      </c>
      <c r="K1129" s="9"/>
      <c r="L1129" s="9"/>
      <c r="M1129" s="9"/>
      <c r="N1129" s="9">
        <f t="shared" si="7"/>
        <v>4.97306497</v>
      </c>
      <c r="O1129" s="10">
        <f t="shared" si="8"/>
        <v>26.49457587</v>
      </c>
      <c r="P1129" s="9">
        <v>7.0</v>
      </c>
      <c r="Q1129" s="11" t="str">
        <f t="shared" si="9"/>
        <v>cobertura correcta</v>
      </c>
      <c r="R1129" s="12"/>
      <c r="S1129" s="8"/>
      <c r="T1129" s="12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</row>
    <row r="1130" ht="15.75" customHeight="1">
      <c r="A1130" s="5" t="s">
        <v>2157</v>
      </c>
      <c r="B1130" s="6" t="s">
        <v>2158</v>
      </c>
      <c r="C1130" s="6">
        <f t="shared" si="1"/>
        <v>7680</v>
      </c>
      <c r="D1130" s="6">
        <f t="shared" si="62"/>
        <v>140</v>
      </c>
      <c r="E1130" s="7">
        <v>0.0</v>
      </c>
      <c r="F1130" s="8"/>
      <c r="G1130" s="6">
        <f t="shared" si="3"/>
        <v>2680</v>
      </c>
      <c r="H1130" s="6">
        <f t="shared" si="4"/>
        <v>18967</v>
      </c>
      <c r="I1130" s="6">
        <f t="shared" si="5"/>
        <v>21791</v>
      </c>
      <c r="J1130" s="6">
        <f t="shared" si="6"/>
        <v>92136</v>
      </c>
      <c r="K1130" s="9"/>
      <c r="L1130" s="9"/>
      <c r="M1130" s="9"/>
      <c r="N1130" s="9">
        <f t="shared" si="7"/>
        <v>11.996875</v>
      </c>
      <c r="O1130" s="10">
        <f t="shared" si="8"/>
        <v>85.97014925</v>
      </c>
      <c r="P1130" s="9">
        <v>7.0</v>
      </c>
      <c r="Q1130" s="11" t="str">
        <f t="shared" si="9"/>
        <v>cobertura correcta</v>
      </c>
      <c r="R1130" s="12"/>
      <c r="S1130" s="8"/>
      <c r="T1130" s="12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</row>
    <row r="1131" ht="15.75" customHeight="1">
      <c r="A1131" s="5" t="s">
        <v>2159</v>
      </c>
      <c r="B1131" s="6" t="s">
        <v>2160</v>
      </c>
      <c r="C1131" s="6">
        <f t="shared" si="1"/>
        <v>4479</v>
      </c>
      <c r="D1131" s="6">
        <f t="shared" si="62"/>
        <v>169</v>
      </c>
      <c r="E1131" s="7">
        <v>0.0</v>
      </c>
      <c r="F1131" s="8"/>
      <c r="G1131" s="6">
        <f t="shared" si="3"/>
        <v>4309</v>
      </c>
      <c r="H1131" s="6">
        <f t="shared" si="4"/>
        <v>10659</v>
      </c>
      <c r="I1131" s="6">
        <f t="shared" si="5"/>
        <v>24628</v>
      </c>
      <c r="J1131" s="6">
        <f t="shared" si="6"/>
        <v>29602</v>
      </c>
      <c r="K1131" s="9"/>
      <c r="L1131" s="9"/>
      <c r="M1131" s="9"/>
      <c r="N1131" s="9">
        <f t="shared" si="7"/>
        <v>6.609064523</v>
      </c>
      <c r="O1131" s="10">
        <f t="shared" si="8"/>
        <v>31.18356927</v>
      </c>
      <c r="P1131" s="9">
        <v>7.0</v>
      </c>
      <c r="Q1131" s="11" t="str">
        <f t="shared" si="9"/>
        <v>cobertura correcta</v>
      </c>
      <c r="R1131" s="12"/>
      <c r="S1131" s="8"/>
      <c r="T1131" s="12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</row>
    <row r="1132" ht="15.75" customHeight="1">
      <c r="A1132" s="5" t="s">
        <v>2161</v>
      </c>
      <c r="B1132" s="6" t="s">
        <v>2162</v>
      </c>
      <c r="C1132" s="6">
        <f t="shared" si="1"/>
        <v>5895</v>
      </c>
      <c r="D1132" s="6">
        <f t="shared" si="62"/>
        <v>54</v>
      </c>
      <c r="E1132" s="7">
        <v>0.0</v>
      </c>
      <c r="F1132" s="8"/>
      <c r="G1132" s="6">
        <f t="shared" si="3"/>
        <v>1375</v>
      </c>
      <c r="H1132" s="6">
        <f t="shared" si="4"/>
        <v>16470</v>
      </c>
      <c r="I1132" s="6">
        <f t="shared" si="5"/>
        <v>22441</v>
      </c>
      <c r="J1132" s="6">
        <f t="shared" si="6"/>
        <v>32348</v>
      </c>
      <c r="K1132" s="9"/>
      <c r="L1132" s="9"/>
      <c r="M1132" s="9"/>
      <c r="N1132" s="9">
        <f t="shared" si="7"/>
        <v>5.487362171</v>
      </c>
      <c r="O1132" s="10">
        <f t="shared" si="8"/>
        <v>128.6181818</v>
      </c>
      <c r="P1132" s="9">
        <v>7.0</v>
      </c>
      <c r="Q1132" s="11" t="str">
        <f t="shared" si="9"/>
        <v>cobertura correcta</v>
      </c>
      <c r="R1132" s="12"/>
      <c r="S1132" s="8"/>
      <c r="T1132" s="12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</row>
    <row r="1133" ht="15.75" customHeight="1">
      <c r="A1133" s="5" t="s">
        <v>2163</v>
      </c>
      <c r="B1133" s="6" t="s">
        <v>2164</v>
      </c>
      <c r="C1133" s="6">
        <f t="shared" si="1"/>
        <v>3155</v>
      </c>
      <c r="D1133" s="6">
        <f t="shared" si="62"/>
        <v>138</v>
      </c>
      <c r="E1133" s="7">
        <v>0.0</v>
      </c>
      <c r="F1133" s="8"/>
      <c r="G1133" s="6">
        <f t="shared" si="3"/>
        <v>3639</v>
      </c>
      <c r="H1133" s="6">
        <f t="shared" si="4"/>
        <v>15104</v>
      </c>
      <c r="I1133" s="6">
        <f t="shared" si="5"/>
        <v>22399</v>
      </c>
      <c r="J1133" s="6">
        <f t="shared" si="6"/>
        <v>66192</v>
      </c>
      <c r="K1133" s="9"/>
      <c r="L1133" s="9"/>
      <c r="M1133" s="9"/>
      <c r="N1133" s="9">
        <f t="shared" si="7"/>
        <v>20.9800317</v>
      </c>
      <c r="O1133" s="10">
        <f t="shared" si="8"/>
        <v>26.00989283</v>
      </c>
      <c r="P1133" s="9">
        <v>15.0</v>
      </c>
      <c r="Q1133" s="11" t="str">
        <f t="shared" si="9"/>
        <v>cobertura correcta</v>
      </c>
      <c r="R1133" s="12"/>
      <c r="S1133" s="8"/>
      <c r="T1133" s="12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</row>
    <row r="1134" ht="15.75" customHeight="1">
      <c r="A1134" s="5" t="s">
        <v>2165</v>
      </c>
      <c r="B1134" s="6" t="s">
        <v>2166</v>
      </c>
      <c r="C1134" s="6">
        <f t="shared" si="1"/>
        <v>7183</v>
      </c>
      <c r="D1134" s="6">
        <f t="shared" si="62"/>
        <v>190</v>
      </c>
      <c r="E1134" s="7">
        <v>0.0</v>
      </c>
      <c r="F1134" s="8"/>
      <c r="G1134" s="6">
        <f t="shared" si="3"/>
        <v>8660</v>
      </c>
      <c r="H1134" s="6">
        <f t="shared" si="4"/>
        <v>12841</v>
      </c>
      <c r="I1134" s="6">
        <f t="shared" si="5"/>
        <v>20303</v>
      </c>
      <c r="J1134" s="6">
        <f t="shared" si="6"/>
        <v>30394</v>
      </c>
      <c r="K1134" s="9"/>
      <c r="L1134" s="9"/>
      <c r="M1134" s="9"/>
      <c r="N1134" s="9">
        <f t="shared" si="7"/>
        <v>4.231379646</v>
      </c>
      <c r="O1134" s="10">
        <f t="shared" si="8"/>
        <v>24.88337182</v>
      </c>
      <c r="P1134" s="9">
        <v>15.0</v>
      </c>
      <c r="Q1134" s="11" t="str">
        <f t="shared" si="9"/>
        <v>cobertura correcta</v>
      </c>
      <c r="R1134" s="12"/>
      <c r="S1134" s="8"/>
      <c r="T1134" s="12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</row>
    <row r="1135" ht="15.75" customHeight="1">
      <c r="A1135" s="5" t="s">
        <v>2167</v>
      </c>
      <c r="B1135" s="6" t="s">
        <v>2168</v>
      </c>
      <c r="C1135" s="6">
        <f t="shared" si="1"/>
        <v>8650</v>
      </c>
      <c r="D1135" s="6">
        <f t="shared" si="62"/>
        <v>118</v>
      </c>
      <c r="E1135" s="7">
        <v>0.0</v>
      </c>
      <c r="F1135" s="8"/>
      <c r="G1135" s="6">
        <f t="shared" si="3"/>
        <v>8625</v>
      </c>
      <c r="H1135" s="6">
        <f t="shared" si="4"/>
        <v>10363</v>
      </c>
      <c r="I1135" s="6">
        <f t="shared" si="5"/>
        <v>28053</v>
      </c>
      <c r="J1135" s="6">
        <f t="shared" si="6"/>
        <v>90972</v>
      </c>
      <c r="K1135" s="9"/>
      <c r="L1135" s="9"/>
      <c r="M1135" s="9"/>
      <c r="N1135" s="9">
        <f t="shared" si="7"/>
        <v>10.51699422</v>
      </c>
      <c r="O1135" s="10">
        <f t="shared" si="8"/>
        <v>30.08695652</v>
      </c>
      <c r="P1135" s="9">
        <v>15.0</v>
      </c>
      <c r="Q1135" s="11" t="str">
        <f t="shared" si="9"/>
        <v>cobertura correcta</v>
      </c>
      <c r="R1135" s="12"/>
      <c r="S1135" s="8"/>
      <c r="T1135" s="12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</row>
    <row r="1136" ht="15.75" customHeight="1">
      <c r="A1136" s="5" t="s">
        <v>2169</v>
      </c>
      <c r="B1136" s="6" t="s">
        <v>2170</v>
      </c>
      <c r="C1136" s="6">
        <f t="shared" si="1"/>
        <v>3184</v>
      </c>
      <c r="D1136" s="6">
        <f t="shared" si="62"/>
        <v>30</v>
      </c>
      <c r="E1136" s="7">
        <v>0.0</v>
      </c>
      <c r="F1136" s="8"/>
      <c r="G1136" s="6">
        <f t="shared" si="3"/>
        <v>7352</v>
      </c>
      <c r="H1136" s="6">
        <f t="shared" si="4"/>
        <v>11026</v>
      </c>
      <c r="I1136" s="6">
        <f t="shared" si="5"/>
        <v>19078</v>
      </c>
      <c r="J1136" s="6">
        <f t="shared" si="6"/>
        <v>70256</v>
      </c>
      <c r="K1136" s="9"/>
      <c r="L1136" s="9"/>
      <c r="M1136" s="9"/>
      <c r="N1136" s="9">
        <f t="shared" si="7"/>
        <v>22.06532663</v>
      </c>
      <c r="O1136" s="10">
        <f t="shared" si="8"/>
        <v>12.99238303</v>
      </c>
      <c r="P1136" s="9">
        <v>15.0</v>
      </c>
      <c r="Q1136" s="11" t="str">
        <f t="shared" si="9"/>
        <v>¡Compra YA!</v>
      </c>
      <c r="R1136" s="12"/>
      <c r="S1136" s="8"/>
      <c r="T1136" s="12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</row>
    <row r="1137" ht="15.75" customHeight="1">
      <c r="A1137" s="5" t="s">
        <v>2171</v>
      </c>
      <c r="B1137" s="6" t="s">
        <v>2172</v>
      </c>
      <c r="C1137" s="6">
        <f t="shared" si="1"/>
        <v>5218</v>
      </c>
      <c r="D1137" s="6">
        <f t="shared" si="62"/>
        <v>110</v>
      </c>
      <c r="E1137" s="7">
        <v>0.0</v>
      </c>
      <c r="F1137" s="8"/>
      <c r="G1137" s="6">
        <f t="shared" si="3"/>
        <v>3787</v>
      </c>
      <c r="H1137" s="6">
        <f t="shared" si="4"/>
        <v>18475</v>
      </c>
      <c r="I1137" s="6">
        <f t="shared" si="5"/>
        <v>24358</v>
      </c>
      <c r="J1137" s="6">
        <f t="shared" si="6"/>
        <v>33916</v>
      </c>
      <c r="K1137" s="9"/>
      <c r="L1137" s="9"/>
      <c r="M1137" s="9"/>
      <c r="N1137" s="9">
        <f t="shared" si="7"/>
        <v>6.499808356</v>
      </c>
      <c r="O1137" s="10">
        <f t="shared" si="8"/>
        <v>41.33614999</v>
      </c>
      <c r="P1137" s="9">
        <v>30.0</v>
      </c>
      <c r="Q1137" s="11" t="str">
        <f t="shared" si="9"/>
        <v>cobertura correcta</v>
      </c>
      <c r="R1137" s="12"/>
      <c r="S1137" s="8"/>
      <c r="T1137" s="12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</row>
    <row r="1138" ht="15.75" customHeight="1">
      <c r="A1138" s="5" t="s">
        <v>2173</v>
      </c>
      <c r="B1138" s="6" t="s">
        <v>2174</v>
      </c>
      <c r="C1138" s="6">
        <f t="shared" si="1"/>
        <v>8521</v>
      </c>
      <c r="D1138" s="6">
        <f t="shared" si="62"/>
        <v>144</v>
      </c>
      <c r="E1138" s="7">
        <v>0.0</v>
      </c>
      <c r="F1138" s="8"/>
      <c r="G1138" s="6">
        <f t="shared" si="3"/>
        <v>4117</v>
      </c>
      <c r="H1138" s="6">
        <f t="shared" si="4"/>
        <v>17668</v>
      </c>
      <c r="I1138" s="6">
        <f t="shared" si="5"/>
        <v>27922</v>
      </c>
      <c r="J1138" s="6">
        <f t="shared" si="6"/>
        <v>59798</v>
      </c>
      <c r="K1138" s="9"/>
      <c r="L1138" s="9"/>
      <c r="M1138" s="9"/>
      <c r="N1138" s="9">
        <f t="shared" si="7"/>
        <v>7.017720925</v>
      </c>
      <c r="O1138" s="10">
        <f t="shared" si="8"/>
        <v>62.09132864</v>
      </c>
      <c r="P1138" s="9">
        <v>15.0</v>
      </c>
      <c r="Q1138" s="11" t="str">
        <f t="shared" si="9"/>
        <v>cobertura correcta</v>
      </c>
      <c r="R1138" s="12"/>
      <c r="S1138" s="8"/>
      <c r="T1138" s="12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</row>
    <row r="1139" ht="15.75" customHeight="1">
      <c r="A1139" s="5" t="s">
        <v>2175</v>
      </c>
      <c r="B1139" s="6" t="s">
        <v>2176</v>
      </c>
      <c r="C1139" s="6">
        <f t="shared" si="1"/>
        <v>6276</v>
      </c>
      <c r="D1139" s="6">
        <f t="shared" si="62"/>
        <v>126</v>
      </c>
      <c r="E1139" s="7">
        <v>0.0</v>
      </c>
      <c r="F1139" s="8"/>
      <c r="G1139" s="6">
        <f t="shared" si="3"/>
        <v>8239</v>
      </c>
      <c r="H1139" s="6">
        <f t="shared" si="4"/>
        <v>15770</v>
      </c>
      <c r="I1139" s="6">
        <f t="shared" si="5"/>
        <v>21462</v>
      </c>
      <c r="J1139" s="6">
        <f t="shared" si="6"/>
        <v>60564</v>
      </c>
      <c r="K1139" s="9"/>
      <c r="L1139" s="9"/>
      <c r="M1139" s="9"/>
      <c r="N1139" s="9">
        <f t="shared" si="7"/>
        <v>9.650095602</v>
      </c>
      <c r="O1139" s="10">
        <f t="shared" si="8"/>
        <v>22.8522879</v>
      </c>
      <c r="P1139" s="9">
        <v>15.0</v>
      </c>
      <c r="Q1139" s="11" t="str">
        <f t="shared" si="9"/>
        <v>cobertura correcta</v>
      </c>
      <c r="R1139" s="12"/>
      <c r="S1139" s="8"/>
      <c r="T1139" s="12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</row>
    <row r="1140" ht="15.75" customHeight="1">
      <c r="A1140" s="5" t="s">
        <v>2177</v>
      </c>
      <c r="B1140" s="6" t="s">
        <v>2178</v>
      </c>
      <c r="C1140" s="6">
        <f t="shared" si="1"/>
        <v>1012</v>
      </c>
      <c r="D1140" s="6">
        <f t="shared" si="62"/>
        <v>168</v>
      </c>
      <c r="E1140" s="7">
        <v>0.0</v>
      </c>
      <c r="F1140" s="8"/>
      <c r="G1140" s="6">
        <f t="shared" si="3"/>
        <v>6732</v>
      </c>
      <c r="H1140" s="6">
        <f t="shared" si="4"/>
        <v>14746</v>
      </c>
      <c r="I1140" s="6">
        <f t="shared" si="5"/>
        <v>27487</v>
      </c>
      <c r="J1140" s="6">
        <f t="shared" si="6"/>
        <v>51092</v>
      </c>
      <c r="K1140" s="9"/>
      <c r="L1140" s="9"/>
      <c r="M1140" s="9"/>
      <c r="N1140" s="9">
        <f t="shared" si="7"/>
        <v>50.48616601</v>
      </c>
      <c r="O1140" s="10">
        <f t="shared" si="8"/>
        <v>4.509803922</v>
      </c>
      <c r="P1140" s="9">
        <v>15.0</v>
      </c>
      <c r="Q1140" s="11" t="str">
        <f t="shared" si="9"/>
        <v>¡Compra YA!</v>
      </c>
      <c r="R1140" s="12"/>
      <c r="S1140" s="8"/>
      <c r="T1140" s="12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ht="15.75" customHeight="1">
      <c r="A1141" s="5" t="s">
        <v>2179</v>
      </c>
      <c r="B1141" s="6"/>
      <c r="C1141" s="6">
        <f t="shared" si="1"/>
        <v>4251</v>
      </c>
      <c r="D1141" s="6">
        <f t="shared" si="62"/>
        <v>1</v>
      </c>
      <c r="E1141" s="7">
        <v>0.0</v>
      </c>
      <c r="F1141" s="8"/>
      <c r="G1141" s="6">
        <f t="shared" si="3"/>
        <v>2471</v>
      </c>
      <c r="H1141" s="6">
        <f t="shared" si="4"/>
        <v>18029</v>
      </c>
      <c r="I1141" s="6">
        <f t="shared" si="5"/>
        <v>26512</v>
      </c>
      <c r="J1141" s="6">
        <f t="shared" si="6"/>
        <v>68490</v>
      </c>
      <c r="K1141" s="9"/>
      <c r="L1141" s="9"/>
      <c r="M1141" s="9"/>
      <c r="N1141" s="9">
        <f t="shared" si="7"/>
        <v>16.11150318</v>
      </c>
      <c r="O1141" s="10">
        <f t="shared" si="8"/>
        <v>51.61068393</v>
      </c>
      <c r="P1141" s="9">
        <v>15.0</v>
      </c>
      <c r="Q1141" s="11" t="str">
        <f t="shared" si="9"/>
        <v>cobertura correcta</v>
      </c>
      <c r="R1141" s="12"/>
      <c r="S1141" s="8"/>
      <c r="T1141" s="12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</row>
    <row r="1142" ht="15.75" customHeight="1">
      <c r="A1142" s="5" t="s">
        <v>2180</v>
      </c>
      <c r="B1142" s="6" t="s">
        <v>2181</v>
      </c>
      <c r="C1142" s="6">
        <f t="shared" si="1"/>
        <v>7882</v>
      </c>
      <c r="D1142" s="6">
        <f t="shared" si="62"/>
        <v>41</v>
      </c>
      <c r="E1142" s="7">
        <v>0.0</v>
      </c>
      <c r="F1142" s="8"/>
      <c r="G1142" s="6">
        <f t="shared" si="3"/>
        <v>3885</v>
      </c>
      <c r="H1142" s="6">
        <f t="shared" si="4"/>
        <v>14223</v>
      </c>
      <c r="I1142" s="6">
        <f t="shared" si="5"/>
        <v>25046</v>
      </c>
      <c r="J1142" s="6">
        <f t="shared" si="6"/>
        <v>56234</v>
      </c>
      <c r="K1142" s="9"/>
      <c r="L1142" s="9"/>
      <c r="M1142" s="9"/>
      <c r="N1142" s="9">
        <f t="shared" si="7"/>
        <v>7.134483634</v>
      </c>
      <c r="O1142" s="10">
        <f t="shared" si="8"/>
        <v>60.86486486</v>
      </c>
      <c r="P1142" s="9">
        <v>7.0</v>
      </c>
      <c r="Q1142" s="11" t="str">
        <f t="shared" si="9"/>
        <v>cobertura correcta</v>
      </c>
      <c r="R1142" s="12"/>
      <c r="S1142" s="8"/>
      <c r="T1142" s="12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</row>
    <row r="1143" ht="15.75" customHeight="1">
      <c r="A1143" s="5" t="s">
        <v>2182</v>
      </c>
      <c r="B1143" s="6" t="s">
        <v>2183</v>
      </c>
      <c r="C1143" s="6">
        <f t="shared" si="1"/>
        <v>5052</v>
      </c>
      <c r="D1143" s="6">
        <f t="shared" si="62"/>
        <v>16</v>
      </c>
      <c r="E1143" s="7">
        <v>0.0</v>
      </c>
      <c r="F1143" s="8"/>
      <c r="G1143" s="6">
        <f t="shared" si="3"/>
        <v>6418</v>
      </c>
      <c r="H1143" s="6">
        <f t="shared" si="4"/>
        <v>16873</v>
      </c>
      <c r="I1143" s="6">
        <f t="shared" si="5"/>
        <v>19124</v>
      </c>
      <c r="J1143" s="6">
        <f t="shared" si="6"/>
        <v>61582</v>
      </c>
      <c r="K1143" s="9"/>
      <c r="L1143" s="9"/>
      <c r="M1143" s="9"/>
      <c r="N1143" s="9">
        <f t="shared" si="7"/>
        <v>12.18962787</v>
      </c>
      <c r="O1143" s="10">
        <f t="shared" si="8"/>
        <v>23.61483328</v>
      </c>
      <c r="P1143" s="9">
        <v>7.0</v>
      </c>
      <c r="Q1143" s="11" t="str">
        <f t="shared" si="9"/>
        <v>cobertura correcta</v>
      </c>
      <c r="R1143" s="12"/>
      <c r="S1143" s="8"/>
      <c r="T1143" s="12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</row>
    <row r="1144" ht="15.75" customHeight="1">
      <c r="A1144" s="5" t="s">
        <v>2184</v>
      </c>
      <c r="B1144" s="6" t="s">
        <v>2185</v>
      </c>
      <c r="C1144" s="6">
        <f t="shared" si="1"/>
        <v>5225</v>
      </c>
      <c r="D1144" s="6">
        <f t="shared" si="62"/>
        <v>12</v>
      </c>
      <c r="E1144" s="7">
        <v>0.0</v>
      </c>
      <c r="F1144" s="8"/>
      <c r="G1144" s="6">
        <f t="shared" si="3"/>
        <v>1850</v>
      </c>
      <c r="H1144" s="6">
        <f t="shared" si="4"/>
        <v>11259</v>
      </c>
      <c r="I1144" s="6">
        <f t="shared" si="5"/>
        <v>27281</v>
      </c>
      <c r="J1144" s="6">
        <f t="shared" si="6"/>
        <v>58485</v>
      </c>
      <c r="K1144" s="9"/>
      <c r="L1144" s="9"/>
      <c r="M1144" s="9"/>
      <c r="N1144" s="9">
        <f t="shared" si="7"/>
        <v>11.19330144</v>
      </c>
      <c r="O1144" s="10">
        <f t="shared" si="8"/>
        <v>84.72972973</v>
      </c>
      <c r="P1144" s="9">
        <v>7.0</v>
      </c>
      <c r="Q1144" s="11" t="str">
        <f t="shared" si="9"/>
        <v>cobertura correcta</v>
      </c>
      <c r="R1144" s="12"/>
      <c r="S1144" s="8"/>
      <c r="T1144" s="12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</row>
    <row r="1145" ht="15.75" customHeight="1">
      <c r="A1145" s="5" t="s">
        <v>2186</v>
      </c>
      <c r="B1145" s="6"/>
      <c r="C1145" s="6">
        <f t="shared" si="1"/>
        <v>8496</v>
      </c>
      <c r="D1145" s="6">
        <f t="shared" si="62"/>
        <v>145</v>
      </c>
      <c r="E1145" s="7">
        <v>0.0</v>
      </c>
      <c r="F1145" s="8"/>
      <c r="G1145" s="6">
        <f t="shared" si="3"/>
        <v>7261</v>
      </c>
      <c r="H1145" s="6">
        <f t="shared" si="4"/>
        <v>15025</v>
      </c>
      <c r="I1145" s="6">
        <f t="shared" si="5"/>
        <v>22976</v>
      </c>
      <c r="J1145" s="6">
        <f t="shared" si="6"/>
        <v>58380</v>
      </c>
      <c r="K1145" s="9"/>
      <c r="L1145" s="9"/>
      <c r="M1145" s="9"/>
      <c r="N1145" s="9">
        <f t="shared" si="7"/>
        <v>6.871468927</v>
      </c>
      <c r="O1145" s="10">
        <f t="shared" si="8"/>
        <v>35.10260295</v>
      </c>
      <c r="P1145" s="9">
        <v>7.0</v>
      </c>
      <c r="Q1145" s="11" t="str">
        <f t="shared" si="9"/>
        <v>cobertura correcta</v>
      </c>
      <c r="R1145" s="12"/>
      <c r="S1145" s="8"/>
      <c r="T1145" s="12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</row>
    <row r="1146" ht="15.75" customHeight="1">
      <c r="A1146" s="5" t="s">
        <v>2187</v>
      </c>
      <c r="B1146" s="6" t="s">
        <v>2188</v>
      </c>
      <c r="C1146" s="6">
        <f t="shared" si="1"/>
        <v>8158</v>
      </c>
      <c r="D1146" s="6">
        <f t="shared" si="62"/>
        <v>8</v>
      </c>
      <c r="E1146" s="7">
        <v>0.0</v>
      </c>
      <c r="F1146" s="8"/>
      <c r="G1146" s="6">
        <f t="shared" si="3"/>
        <v>8807</v>
      </c>
      <c r="H1146" s="6">
        <f t="shared" si="4"/>
        <v>9423</v>
      </c>
      <c r="I1146" s="6">
        <f t="shared" si="5"/>
        <v>26829</v>
      </c>
      <c r="J1146" s="6">
        <f t="shared" si="6"/>
        <v>49434</v>
      </c>
      <c r="K1146" s="9"/>
      <c r="L1146" s="9"/>
      <c r="M1146" s="9"/>
      <c r="N1146" s="9">
        <f t="shared" si="7"/>
        <v>6.059573425</v>
      </c>
      <c r="O1146" s="10">
        <f t="shared" si="8"/>
        <v>27.78925854</v>
      </c>
      <c r="P1146" s="9">
        <v>20.0</v>
      </c>
      <c r="Q1146" s="11" t="str">
        <f t="shared" si="9"/>
        <v>cobertura correcta</v>
      </c>
      <c r="R1146" s="12"/>
      <c r="S1146" s="8"/>
      <c r="T1146" s="12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</row>
    <row r="1147" ht="15.75" customHeight="1">
      <c r="A1147" s="5" t="s">
        <v>2189</v>
      </c>
      <c r="B1147" s="6" t="s">
        <v>2190</v>
      </c>
      <c r="C1147" s="6">
        <f t="shared" si="1"/>
        <v>6956</v>
      </c>
      <c r="D1147" s="6">
        <f t="shared" si="62"/>
        <v>27</v>
      </c>
      <c r="E1147" s="7">
        <v>0.0</v>
      </c>
      <c r="F1147" s="8"/>
      <c r="G1147" s="6">
        <f t="shared" si="3"/>
        <v>5045</v>
      </c>
      <c r="H1147" s="6">
        <f t="shared" si="4"/>
        <v>17364</v>
      </c>
      <c r="I1147" s="6">
        <f t="shared" si="5"/>
        <v>20299</v>
      </c>
      <c r="J1147" s="6">
        <f t="shared" si="6"/>
        <v>66275</v>
      </c>
      <c r="K1147" s="9"/>
      <c r="L1147" s="9"/>
      <c r="M1147" s="9"/>
      <c r="N1147" s="9">
        <f t="shared" si="7"/>
        <v>9.527745831</v>
      </c>
      <c r="O1147" s="10">
        <f t="shared" si="8"/>
        <v>41.36372646</v>
      </c>
      <c r="P1147" s="9">
        <v>7.0</v>
      </c>
      <c r="Q1147" s="11" t="str">
        <f t="shared" si="9"/>
        <v>cobertura correcta</v>
      </c>
      <c r="R1147" s="12"/>
      <c r="S1147" s="8"/>
      <c r="T1147" s="12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</row>
    <row r="1148" ht="15.75" customHeight="1">
      <c r="A1148" s="5" t="s">
        <v>2191</v>
      </c>
      <c r="B1148" s="6" t="s">
        <v>2192</v>
      </c>
      <c r="C1148" s="6">
        <f t="shared" si="1"/>
        <v>2794</v>
      </c>
      <c r="D1148" s="6">
        <f t="shared" si="62"/>
        <v>19</v>
      </c>
      <c r="E1148" s="7">
        <v>0.0</v>
      </c>
      <c r="F1148" s="8"/>
      <c r="G1148" s="6">
        <f t="shared" si="3"/>
        <v>8806</v>
      </c>
      <c r="H1148" s="6">
        <f t="shared" si="4"/>
        <v>13526</v>
      </c>
      <c r="I1148" s="6">
        <f t="shared" si="5"/>
        <v>22059</v>
      </c>
      <c r="J1148" s="6">
        <f t="shared" si="6"/>
        <v>77317</v>
      </c>
      <c r="K1148" s="9"/>
      <c r="L1148" s="9"/>
      <c r="M1148" s="9"/>
      <c r="N1148" s="9">
        <f t="shared" si="7"/>
        <v>27.67251253</v>
      </c>
      <c r="O1148" s="10">
        <f t="shared" si="8"/>
        <v>9.518510107</v>
      </c>
      <c r="P1148" s="9">
        <v>7.0</v>
      </c>
      <c r="Q1148" s="11" t="str">
        <f t="shared" si="9"/>
        <v>cobertura correcta</v>
      </c>
      <c r="R1148" s="12"/>
      <c r="S1148" s="8"/>
      <c r="T1148" s="12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</row>
    <row r="1149" ht="15.75" customHeight="1">
      <c r="A1149" s="5" t="s">
        <v>2193</v>
      </c>
      <c r="B1149" s="6" t="s">
        <v>2194</v>
      </c>
      <c r="C1149" s="6">
        <f t="shared" si="1"/>
        <v>2120</v>
      </c>
      <c r="D1149" s="6">
        <f t="shared" si="62"/>
        <v>26</v>
      </c>
      <c r="E1149" s="7">
        <v>0.0</v>
      </c>
      <c r="F1149" s="8"/>
      <c r="G1149" s="6">
        <f t="shared" si="3"/>
        <v>8876</v>
      </c>
      <c r="H1149" s="6">
        <f t="shared" si="4"/>
        <v>15637</v>
      </c>
      <c r="I1149" s="6">
        <f t="shared" si="5"/>
        <v>25018</v>
      </c>
      <c r="J1149" s="6">
        <f t="shared" si="6"/>
        <v>31377</v>
      </c>
      <c r="K1149" s="9"/>
      <c r="L1149" s="9"/>
      <c r="M1149" s="9"/>
      <c r="N1149" s="9">
        <f t="shared" si="7"/>
        <v>14.8004717</v>
      </c>
      <c r="O1149" s="10">
        <f t="shared" si="8"/>
        <v>7.165389815</v>
      </c>
      <c r="P1149" s="9">
        <v>15.0</v>
      </c>
      <c r="Q1149" s="11" t="str">
        <f t="shared" si="9"/>
        <v>¡Compra YA!</v>
      </c>
      <c r="R1149" s="12"/>
      <c r="S1149" s="8"/>
      <c r="T1149" s="12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</row>
    <row r="1150" ht="15.75" customHeight="1">
      <c r="A1150" s="5" t="s">
        <v>2195</v>
      </c>
      <c r="B1150" s="6" t="s">
        <v>2196</v>
      </c>
      <c r="C1150" s="6">
        <f t="shared" si="1"/>
        <v>3587</v>
      </c>
      <c r="D1150" s="6">
        <f t="shared" si="62"/>
        <v>23</v>
      </c>
      <c r="E1150" s="7">
        <v>0.0</v>
      </c>
      <c r="F1150" s="8"/>
      <c r="G1150" s="6">
        <f t="shared" si="3"/>
        <v>6692</v>
      </c>
      <c r="H1150" s="6">
        <f t="shared" si="4"/>
        <v>18876</v>
      </c>
      <c r="I1150" s="6">
        <f t="shared" si="5"/>
        <v>23251</v>
      </c>
      <c r="J1150" s="6">
        <f t="shared" si="6"/>
        <v>78488</v>
      </c>
      <c r="K1150" s="9"/>
      <c r="L1150" s="9"/>
      <c r="M1150" s="9"/>
      <c r="N1150" s="9">
        <f t="shared" si="7"/>
        <v>21.8812378</v>
      </c>
      <c r="O1150" s="10">
        <f t="shared" si="8"/>
        <v>16.0803945</v>
      </c>
      <c r="P1150" s="9">
        <v>15.0</v>
      </c>
      <c r="Q1150" s="11" t="str">
        <f t="shared" si="9"/>
        <v>cobertura correcta</v>
      </c>
      <c r="R1150" s="12"/>
      <c r="S1150" s="8"/>
      <c r="T1150" s="12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</row>
    <row r="1151" ht="15.75" customHeight="1">
      <c r="A1151" s="5" t="s">
        <v>2197</v>
      </c>
      <c r="B1151" s="6" t="s">
        <v>2198</v>
      </c>
      <c r="C1151" s="6">
        <f t="shared" si="1"/>
        <v>7180</v>
      </c>
      <c r="D1151" s="6">
        <f t="shared" si="62"/>
        <v>199</v>
      </c>
      <c r="E1151" s="7">
        <v>0.0</v>
      </c>
      <c r="F1151" s="8"/>
      <c r="G1151" s="6">
        <f t="shared" si="3"/>
        <v>3327</v>
      </c>
      <c r="H1151" s="6">
        <f t="shared" si="4"/>
        <v>16170</v>
      </c>
      <c r="I1151" s="6">
        <f t="shared" si="5"/>
        <v>19298</v>
      </c>
      <c r="J1151" s="6">
        <f t="shared" si="6"/>
        <v>84776</v>
      </c>
      <c r="K1151" s="9"/>
      <c r="L1151" s="9"/>
      <c r="M1151" s="9"/>
      <c r="N1151" s="9">
        <f t="shared" si="7"/>
        <v>11.80724234</v>
      </c>
      <c r="O1151" s="10">
        <f t="shared" si="8"/>
        <v>64.74301172</v>
      </c>
      <c r="P1151" s="9">
        <v>7.0</v>
      </c>
      <c r="Q1151" s="11" t="str">
        <f t="shared" si="9"/>
        <v>cobertura correcta</v>
      </c>
      <c r="R1151" s="12"/>
      <c r="S1151" s="8"/>
      <c r="T1151" s="12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</row>
    <row r="1152" ht="15.75" customHeight="1">
      <c r="A1152" s="5" t="s">
        <v>2199</v>
      </c>
      <c r="B1152" s="6" t="s">
        <v>2200</v>
      </c>
      <c r="C1152" s="6">
        <f t="shared" si="1"/>
        <v>8242</v>
      </c>
      <c r="D1152" s="6">
        <f t="shared" si="62"/>
        <v>72</v>
      </c>
      <c r="E1152" s="7">
        <v>0.0</v>
      </c>
      <c r="F1152" s="8"/>
      <c r="G1152" s="6">
        <f t="shared" si="3"/>
        <v>3906</v>
      </c>
      <c r="H1152" s="6">
        <f t="shared" si="4"/>
        <v>9814</v>
      </c>
      <c r="I1152" s="6">
        <f t="shared" si="5"/>
        <v>26525</v>
      </c>
      <c r="J1152" s="6">
        <f t="shared" si="6"/>
        <v>92258</v>
      </c>
      <c r="K1152" s="9"/>
      <c r="L1152" s="9"/>
      <c r="M1152" s="9"/>
      <c r="N1152" s="9">
        <f t="shared" si="7"/>
        <v>11.19364232</v>
      </c>
      <c r="O1152" s="10">
        <f t="shared" si="8"/>
        <v>63.30261137</v>
      </c>
      <c r="P1152" s="9">
        <v>20.0</v>
      </c>
      <c r="Q1152" s="11" t="str">
        <f t="shared" si="9"/>
        <v>cobertura correcta</v>
      </c>
      <c r="R1152" s="12"/>
      <c r="S1152" s="8"/>
      <c r="T1152" s="12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</row>
    <row r="1153" ht="15.75" customHeight="1">
      <c r="A1153" s="5" t="s">
        <v>2201</v>
      </c>
      <c r="B1153" s="6" t="s">
        <v>2202</v>
      </c>
      <c r="C1153" s="6">
        <f t="shared" si="1"/>
        <v>3601</v>
      </c>
      <c r="D1153" s="6">
        <f t="shared" si="62"/>
        <v>67</v>
      </c>
      <c r="E1153" s="7">
        <v>0.0</v>
      </c>
      <c r="F1153" s="8"/>
      <c r="G1153" s="6">
        <f t="shared" si="3"/>
        <v>3327</v>
      </c>
      <c r="H1153" s="6">
        <f t="shared" si="4"/>
        <v>15866</v>
      </c>
      <c r="I1153" s="6">
        <f t="shared" si="5"/>
        <v>25931</v>
      </c>
      <c r="J1153" s="6">
        <f t="shared" si="6"/>
        <v>59325</v>
      </c>
      <c r="K1153" s="9"/>
      <c r="L1153" s="9"/>
      <c r="M1153" s="9"/>
      <c r="N1153" s="9">
        <f t="shared" si="7"/>
        <v>16.47459039</v>
      </c>
      <c r="O1153" s="10">
        <f t="shared" si="8"/>
        <v>32.47069432</v>
      </c>
      <c r="P1153" s="9">
        <v>7.0</v>
      </c>
      <c r="Q1153" s="11" t="str">
        <f t="shared" si="9"/>
        <v>cobertura correcta</v>
      </c>
      <c r="R1153" s="12"/>
      <c r="S1153" s="8"/>
      <c r="T1153" s="12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</row>
    <row r="1154" ht="15.75" customHeight="1">
      <c r="A1154" s="5" t="s">
        <v>2203</v>
      </c>
      <c r="B1154" s="6" t="s">
        <v>2204</v>
      </c>
      <c r="C1154" s="6">
        <f t="shared" si="1"/>
        <v>1720</v>
      </c>
      <c r="D1154" s="6">
        <f t="shared" si="62"/>
        <v>16</v>
      </c>
      <c r="E1154" s="7">
        <v>0.0</v>
      </c>
      <c r="F1154" s="8"/>
      <c r="G1154" s="6">
        <f t="shared" si="3"/>
        <v>5727</v>
      </c>
      <c r="H1154" s="6">
        <f t="shared" si="4"/>
        <v>11006</v>
      </c>
      <c r="I1154" s="6">
        <f t="shared" si="5"/>
        <v>25509</v>
      </c>
      <c r="J1154" s="6">
        <f t="shared" si="6"/>
        <v>35992</v>
      </c>
      <c r="K1154" s="9"/>
      <c r="L1154" s="9"/>
      <c r="M1154" s="9"/>
      <c r="N1154" s="9">
        <f t="shared" si="7"/>
        <v>20.9255814</v>
      </c>
      <c r="O1154" s="10">
        <f t="shared" si="8"/>
        <v>9.009952855</v>
      </c>
      <c r="P1154" s="9">
        <v>7.0</v>
      </c>
      <c r="Q1154" s="11" t="str">
        <f t="shared" si="9"/>
        <v>cobertura correcta</v>
      </c>
      <c r="R1154" s="12"/>
      <c r="S1154" s="8"/>
      <c r="T1154" s="12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</row>
    <row r="1155" ht="15.75" customHeight="1">
      <c r="A1155" s="5" t="s">
        <v>2205</v>
      </c>
      <c r="B1155" s="6" t="s">
        <v>2206</v>
      </c>
      <c r="C1155" s="6">
        <f t="shared" si="1"/>
        <v>6454</v>
      </c>
      <c r="D1155" s="6">
        <f t="shared" si="62"/>
        <v>84</v>
      </c>
      <c r="E1155" s="7">
        <v>0.0</v>
      </c>
      <c r="F1155" s="8"/>
      <c r="G1155" s="6">
        <f t="shared" si="3"/>
        <v>8573</v>
      </c>
      <c r="H1155" s="6">
        <f t="shared" si="4"/>
        <v>12862</v>
      </c>
      <c r="I1155" s="6">
        <f t="shared" si="5"/>
        <v>26969</v>
      </c>
      <c r="J1155" s="6">
        <f t="shared" si="6"/>
        <v>33482</v>
      </c>
      <c r="K1155" s="9"/>
      <c r="L1155" s="9"/>
      <c r="M1155" s="9"/>
      <c r="N1155" s="9">
        <f t="shared" si="7"/>
        <v>5.187790518</v>
      </c>
      <c r="O1155" s="10">
        <f t="shared" si="8"/>
        <v>22.58485944</v>
      </c>
      <c r="P1155" s="9">
        <v>7.0</v>
      </c>
      <c r="Q1155" s="11" t="str">
        <f t="shared" si="9"/>
        <v>cobertura correcta</v>
      </c>
      <c r="R1155" s="12"/>
      <c r="S1155" s="8"/>
      <c r="T1155" s="12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</row>
    <row r="1156" ht="15.75" customHeight="1">
      <c r="A1156" s="5" t="s">
        <v>2207</v>
      </c>
      <c r="B1156" s="6" t="s">
        <v>2208</v>
      </c>
      <c r="C1156" s="6">
        <f t="shared" si="1"/>
        <v>3628</v>
      </c>
      <c r="D1156" s="6">
        <f t="shared" si="62"/>
        <v>60</v>
      </c>
      <c r="E1156" s="7">
        <v>0.0</v>
      </c>
      <c r="F1156" s="8"/>
      <c r="G1156" s="6">
        <f t="shared" si="3"/>
        <v>3457</v>
      </c>
      <c r="H1156" s="6">
        <f t="shared" si="4"/>
        <v>16011</v>
      </c>
      <c r="I1156" s="6">
        <f t="shared" si="5"/>
        <v>20419</v>
      </c>
      <c r="J1156" s="6">
        <f t="shared" si="6"/>
        <v>75080</v>
      </c>
      <c r="K1156" s="9"/>
      <c r="L1156" s="9"/>
      <c r="M1156" s="9"/>
      <c r="N1156" s="9">
        <f t="shared" si="7"/>
        <v>20.69459757</v>
      </c>
      <c r="O1156" s="10">
        <f t="shared" si="8"/>
        <v>31.48394562</v>
      </c>
      <c r="P1156" s="9">
        <v>20.0</v>
      </c>
      <c r="Q1156" s="11" t="str">
        <f t="shared" si="9"/>
        <v>cobertura correcta</v>
      </c>
      <c r="R1156" s="12"/>
      <c r="S1156" s="8"/>
      <c r="T1156" s="12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</row>
    <row r="1157" ht="15.75" customHeight="1">
      <c r="A1157" s="5" t="s">
        <v>2209</v>
      </c>
      <c r="B1157" s="6" t="s">
        <v>2210</v>
      </c>
      <c r="C1157" s="6">
        <f t="shared" si="1"/>
        <v>7782</v>
      </c>
      <c r="D1157" s="6">
        <f t="shared" si="62"/>
        <v>18</v>
      </c>
      <c r="E1157" s="7">
        <v>0.0</v>
      </c>
      <c r="F1157" s="8"/>
      <c r="G1157" s="6">
        <f t="shared" si="3"/>
        <v>8251</v>
      </c>
      <c r="H1157" s="6">
        <f t="shared" si="4"/>
        <v>14676</v>
      </c>
      <c r="I1157" s="6">
        <f t="shared" si="5"/>
        <v>24975</v>
      </c>
      <c r="J1157" s="6">
        <f t="shared" si="6"/>
        <v>90482</v>
      </c>
      <c r="K1157" s="9"/>
      <c r="L1157" s="9"/>
      <c r="M1157" s="9"/>
      <c r="N1157" s="9">
        <f t="shared" si="7"/>
        <v>11.62708815</v>
      </c>
      <c r="O1157" s="10">
        <f t="shared" si="8"/>
        <v>28.29475215</v>
      </c>
      <c r="P1157" s="9">
        <v>7.0</v>
      </c>
      <c r="Q1157" s="11" t="str">
        <f t="shared" si="9"/>
        <v>cobertura correcta</v>
      </c>
      <c r="R1157" s="12"/>
      <c r="S1157" s="8"/>
      <c r="T1157" s="12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ht="15.75" customHeight="1">
      <c r="A1158" s="5" t="s">
        <v>2211</v>
      </c>
      <c r="B1158" s="6" t="s">
        <v>2212</v>
      </c>
      <c r="C1158" s="6">
        <f t="shared" si="1"/>
        <v>5120</v>
      </c>
      <c r="D1158" s="6">
        <f t="shared" si="62"/>
        <v>22</v>
      </c>
      <c r="E1158" s="7">
        <v>0.0</v>
      </c>
      <c r="F1158" s="8"/>
      <c r="G1158" s="6">
        <f t="shared" si="3"/>
        <v>8362</v>
      </c>
      <c r="H1158" s="6">
        <f t="shared" si="4"/>
        <v>14088</v>
      </c>
      <c r="I1158" s="6">
        <f t="shared" si="5"/>
        <v>22618</v>
      </c>
      <c r="J1158" s="6">
        <f t="shared" si="6"/>
        <v>86544</v>
      </c>
      <c r="K1158" s="9"/>
      <c r="L1158" s="9"/>
      <c r="M1158" s="9"/>
      <c r="N1158" s="9">
        <f t="shared" si="7"/>
        <v>16.903125</v>
      </c>
      <c r="O1158" s="10">
        <f t="shared" si="8"/>
        <v>18.36881129</v>
      </c>
      <c r="P1158" s="9">
        <v>7.0</v>
      </c>
      <c r="Q1158" s="11" t="str">
        <f t="shared" si="9"/>
        <v>cobertura correcta</v>
      </c>
      <c r="R1158" s="12"/>
      <c r="S1158" s="8"/>
      <c r="T1158" s="12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ht="15.75" customHeight="1">
      <c r="A1159" s="5" t="s">
        <v>2213</v>
      </c>
      <c r="B1159" s="6" t="s">
        <v>2214</v>
      </c>
      <c r="C1159" s="6">
        <f t="shared" si="1"/>
        <v>3521</v>
      </c>
      <c r="D1159" s="6">
        <f t="shared" si="62"/>
        <v>1</v>
      </c>
      <c r="E1159" s="7">
        <v>0.0</v>
      </c>
      <c r="F1159" s="8"/>
      <c r="G1159" s="6">
        <f t="shared" si="3"/>
        <v>7195</v>
      </c>
      <c r="H1159" s="6">
        <f t="shared" si="4"/>
        <v>10950</v>
      </c>
      <c r="I1159" s="6">
        <f t="shared" si="5"/>
        <v>22881</v>
      </c>
      <c r="J1159" s="6">
        <f t="shared" si="6"/>
        <v>74713</v>
      </c>
      <c r="K1159" s="9"/>
      <c r="L1159" s="9"/>
      <c r="M1159" s="9"/>
      <c r="N1159" s="9">
        <f t="shared" si="7"/>
        <v>21.21925589</v>
      </c>
      <c r="O1159" s="10">
        <f t="shared" si="8"/>
        <v>14.68102849</v>
      </c>
      <c r="P1159" s="9">
        <v>7.0</v>
      </c>
      <c r="Q1159" s="11" t="str">
        <f t="shared" si="9"/>
        <v>cobertura correcta</v>
      </c>
      <c r="R1159" s="12"/>
      <c r="S1159" s="8"/>
      <c r="T1159" s="12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ht="15.75" customHeight="1">
      <c r="A1160" s="5" t="s">
        <v>2215</v>
      </c>
      <c r="B1160" s="6" t="s">
        <v>2216</v>
      </c>
      <c r="C1160" s="6">
        <f t="shared" si="1"/>
        <v>6535</v>
      </c>
      <c r="D1160" s="6">
        <f t="shared" si="62"/>
        <v>174</v>
      </c>
      <c r="E1160" s="7">
        <v>0.0</v>
      </c>
      <c r="F1160" s="8"/>
      <c r="G1160" s="6">
        <f t="shared" si="3"/>
        <v>3372</v>
      </c>
      <c r="H1160" s="6">
        <f t="shared" si="4"/>
        <v>15686</v>
      </c>
      <c r="I1160" s="6">
        <f t="shared" si="5"/>
        <v>27004</v>
      </c>
      <c r="J1160" s="6">
        <f t="shared" si="6"/>
        <v>71749</v>
      </c>
      <c r="K1160" s="9"/>
      <c r="L1160" s="9"/>
      <c r="M1160" s="9"/>
      <c r="N1160" s="9">
        <f t="shared" si="7"/>
        <v>10.97918898</v>
      </c>
      <c r="O1160" s="10">
        <f t="shared" si="8"/>
        <v>58.1405694</v>
      </c>
      <c r="P1160" s="9">
        <v>7.0</v>
      </c>
      <c r="Q1160" s="11" t="str">
        <f t="shared" si="9"/>
        <v>cobertura correcta</v>
      </c>
      <c r="R1160" s="12"/>
      <c r="S1160" s="8"/>
      <c r="T1160" s="12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ht="15.75" customHeight="1">
      <c r="A1161" s="5" t="s">
        <v>2217</v>
      </c>
      <c r="B1161" s="6" t="s">
        <v>2218</v>
      </c>
      <c r="C1161" s="6">
        <f t="shared" si="1"/>
        <v>3150</v>
      </c>
      <c r="D1161" s="6">
        <f t="shared" si="62"/>
        <v>44</v>
      </c>
      <c r="E1161" s="7">
        <v>0.0</v>
      </c>
      <c r="F1161" s="8"/>
      <c r="G1161" s="6">
        <f t="shared" si="3"/>
        <v>1589</v>
      </c>
      <c r="H1161" s="6">
        <f t="shared" si="4"/>
        <v>16722</v>
      </c>
      <c r="I1161" s="6">
        <f t="shared" si="5"/>
        <v>28487</v>
      </c>
      <c r="J1161" s="6">
        <f t="shared" si="6"/>
        <v>94040</v>
      </c>
      <c r="K1161" s="9"/>
      <c r="L1161" s="9"/>
      <c r="M1161" s="9"/>
      <c r="N1161" s="9">
        <f t="shared" si="7"/>
        <v>29.85396825</v>
      </c>
      <c r="O1161" s="10">
        <f t="shared" si="8"/>
        <v>59.47136564</v>
      </c>
      <c r="P1161" s="9">
        <v>7.0</v>
      </c>
      <c r="Q1161" s="11" t="str">
        <f t="shared" si="9"/>
        <v>cobertura correcta</v>
      </c>
      <c r="R1161" s="12"/>
      <c r="S1161" s="8"/>
      <c r="T1161" s="12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</row>
    <row r="1162" ht="15.75" customHeight="1">
      <c r="A1162" s="5" t="s">
        <v>2219</v>
      </c>
      <c r="B1162" s="6" t="s">
        <v>2220</v>
      </c>
      <c r="C1162" s="6">
        <f t="shared" si="1"/>
        <v>6017</v>
      </c>
      <c r="D1162" s="6">
        <f t="shared" si="62"/>
        <v>100</v>
      </c>
      <c r="E1162" s="7">
        <v>0.0</v>
      </c>
      <c r="F1162" s="8"/>
      <c r="G1162" s="6">
        <f t="shared" si="3"/>
        <v>8965</v>
      </c>
      <c r="H1162" s="6">
        <f t="shared" si="4"/>
        <v>13780</v>
      </c>
      <c r="I1162" s="6">
        <f t="shared" si="5"/>
        <v>23874</v>
      </c>
      <c r="J1162" s="6">
        <f t="shared" si="6"/>
        <v>76687</v>
      </c>
      <c r="K1162" s="9"/>
      <c r="L1162" s="9"/>
      <c r="M1162" s="9"/>
      <c r="N1162" s="9">
        <f t="shared" si="7"/>
        <v>12.74505568</v>
      </c>
      <c r="O1162" s="10">
        <f t="shared" si="8"/>
        <v>20.13496933</v>
      </c>
      <c r="P1162" s="9">
        <v>7.0</v>
      </c>
      <c r="Q1162" s="11" t="str">
        <f t="shared" si="9"/>
        <v>cobertura correcta</v>
      </c>
      <c r="R1162" s="12"/>
      <c r="S1162" s="8"/>
      <c r="T1162" s="12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</row>
    <row r="1163" ht="15.75" customHeight="1">
      <c r="A1163" s="5" t="s">
        <v>2221</v>
      </c>
      <c r="B1163" s="6" t="s">
        <v>2222</v>
      </c>
      <c r="C1163" s="6">
        <f t="shared" si="1"/>
        <v>7373</v>
      </c>
      <c r="D1163" s="6">
        <f t="shared" si="62"/>
        <v>29</v>
      </c>
      <c r="E1163" s="7">
        <v>0.0</v>
      </c>
      <c r="F1163" s="8"/>
      <c r="G1163" s="6">
        <f t="shared" si="3"/>
        <v>6913</v>
      </c>
      <c r="H1163" s="6">
        <f t="shared" si="4"/>
        <v>9413</v>
      </c>
      <c r="I1163" s="6">
        <f t="shared" si="5"/>
        <v>19904</v>
      </c>
      <c r="J1163" s="6">
        <f t="shared" si="6"/>
        <v>95131</v>
      </c>
      <c r="K1163" s="9"/>
      <c r="L1163" s="9"/>
      <c r="M1163" s="9"/>
      <c r="N1163" s="9">
        <f t="shared" si="7"/>
        <v>12.90261766</v>
      </c>
      <c r="O1163" s="10">
        <f t="shared" si="8"/>
        <v>31.99623897</v>
      </c>
      <c r="P1163" s="9">
        <v>30.0</v>
      </c>
      <c r="Q1163" s="11" t="str">
        <f t="shared" si="9"/>
        <v>cobertura correcta</v>
      </c>
      <c r="R1163" s="12"/>
      <c r="S1163" s="8"/>
      <c r="T1163" s="12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</row>
    <row r="1164" ht="15.75" customHeight="1">
      <c r="A1164" s="5" t="s">
        <v>2223</v>
      </c>
      <c r="B1164" s="6" t="s">
        <v>2224</v>
      </c>
      <c r="C1164" s="6">
        <f t="shared" si="1"/>
        <v>1848</v>
      </c>
      <c r="D1164" s="6">
        <f t="shared" si="62"/>
        <v>58</v>
      </c>
      <c r="E1164" s="7">
        <v>0.0</v>
      </c>
      <c r="F1164" s="8"/>
      <c r="G1164" s="6">
        <f t="shared" si="3"/>
        <v>1972</v>
      </c>
      <c r="H1164" s="6">
        <f t="shared" si="4"/>
        <v>13992</v>
      </c>
      <c r="I1164" s="6">
        <f t="shared" si="5"/>
        <v>19974</v>
      </c>
      <c r="J1164" s="6">
        <f t="shared" si="6"/>
        <v>47175</v>
      </c>
      <c r="K1164" s="9"/>
      <c r="L1164" s="9"/>
      <c r="M1164" s="9"/>
      <c r="N1164" s="9">
        <f t="shared" si="7"/>
        <v>25.5275974</v>
      </c>
      <c r="O1164" s="10">
        <f t="shared" si="8"/>
        <v>28.11359026</v>
      </c>
      <c r="P1164" s="9">
        <v>7.0</v>
      </c>
      <c r="Q1164" s="11" t="str">
        <f t="shared" si="9"/>
        <v>cobertura correcta</v>
      </c>
      <c r="R1164" s="12"/>
      <c r="S1164" s="8"/>
      <c r="T1164" s="12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ht="15.75" customHeight="1">
      <c r="A1165" s="5" t="s">
        <v>2225</v>
      </c>
      <c r="B1165" s="6" t="s">
        <v>2226</v>
      </c>
      <c r="C1165" s="6">
        <f t="shared" si="1"/>
        <v>4316</v>
      </c>
      <c r="D1165" s="6">
        <f t="shared" si="62"/>
        <v>70</v>
      </c>
      <c r="E1165" s="7">
        <v>0.0</v>
      </c>
      <c r="F1165" s="8"/>
      <c r="G1165" s="6">
        <f t="shared" si="3"/>
        <v>4200</v>
      </c>
      <c r="H1165" s="6">
        <f t="shared" si="4"/>
        <v>11945</v>
      </c>
      <c r="I1165" s="6">
        <f t="shared" si="5"/>
        <v>24417</v>
      </c>
      <c r="J1165" s="6">
        <f t="shared" si="6"/>
        <v>51210</v>
      </c>
      <c r="K1165" s="9"/>
      <c r="L1165" s="9"/>
      <c r="M1165" s="9"/>
      <c r="N1165" s="9">
        <f t="shared" si="7"/>
        <v>11.86515292</v>
      </c>
      <c r="O1165" s="10">
        <f t="shared" si="8"/>
        <v>30.82857143</v>
      </c>
      <c r="P1165" s="9">
        <v>7.0</v>
      </c>
      <c r="Q1165" s="11" t="str">
        <f t="shared" si="9"/>
        <v>cobertura correcta</v>
      </c>
      <c r="R1165" s="12"/>
      <c r="S1165" s="8"/>
      <c r="T1165" s="12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</row>
    <row r="1166" ht="15.75" customHeight="1">
      <c r="A1166" s="5" t="s">
        <v>2227</v>
      </c>
      <c r="B1166" s="6" t="s">
        <v>2228</v>
      </c>
      <c r="C1166" s="6">
        <f t="shared" si="1"/>
        <v>1177</v>
      </c>
      <c r="D1166" s="6">
        <f t="shared" si="62"/>
        <v>124</v>
      </c>
      <c r="E1166" s="7">
        <v>0.0</v>
      </c>
      <c r="F1166" s="8"/>
      <c r="G1166" s="6">
        <f t="shared" si="3"/>
        <v>6989</v>
      </c>
      <c r="H1166" s="6">
        <f t="shared" si="4"/>
        <v>14166</v>
      </c>
      <c r="I1166" s="6">
        <f t="shared" si="5"/>
        <v>26040</v>
      </c>
      <c r="J1166" s="6">
        <f t="shared" si="6"/>
        <v>93349</v>
      </c>
      <c r="K1166" s="9"/>
      <c r="L1166" s="9"/>
      <c r="M1166" s="9"/>
      <c r="N1166" s="9">
        <f t="shared" si="7"/>
        <v>79.31096007</v>
      </c>
      <c r="O1166" s="10">
        <f t="shared" si="8"/>
        <v>5.052224925</v>
      </c>
      <c r="P1166" s="9">
        <v>15.0</v>
      </c>
      <c r="Q1166" s="11" t="str">
        <f t="shared" si="9"/>
        <v>¡Compra YA!</v>
      </c>
      <c r="R1166" s="12"/>
      <c r="S1166" s="8"/>
      <c r="T1166" s="12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ht="15.75" customHeight="1">
      <c r="A1167" s="5" t="s">
        <v>2229</v>
      </c>
      <c r="B1167" s="6" t="s">
        <v>2230</v>
      </c>
      <c r="C1167" s="6">
        <f t="shared" si="1"/>
        <v>6946</v>
      </c>
      <c r="D1167" s="6">
        <f t="shared" si="62"/>
        <v>49</v>
      </c>
      <c r="E1167" s="7">
        <v>0.0</v>
      </c>
      <c r="F1167" s="8"/>
      <c r="G1167" s="6">
        <f t="shared" si="3"/>
        <v>7156</v>
      </c>
      <c r="H1167" s="6">
        <f t="shared" si="4"/>
        <v>10817</v>
      </c>
      <c r="I1167" s="6">
        <f t="shared" si="5"/>
        <v>19301</v>
      </c>
      <c r="J1167" s="6">
        <f t="shared" si="6"/>
        <v>92082</v>
      </c>
      <c r="K1167" s="9"/>
      <c r="L1167" s="9"/>
      <c r="M1167" s="9"/>
      <c r="N1167" s="9">
        <f t="shared" si="7"/>
        <v>13.25683847</v>
      </c>
      <c r="O1167" s="10">
        <f t="shared" si="8"/>
        <v>29.1196199</v>
      </c>
      <c r="P1167" s="9">
        <v>7.0</v>
      </c>
      <c r="Q1167" s="11" t="str">
        <f t="shared" si="9"/>
        <v>cobertura correcta</v>
      </c>
      <c r="R1167" s="12"/>
      <c r="S1167" s="8"/>
      <c r="T1167" s="12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</row>
    <row r="1168" ht="15.75" customHeight="1">
      <c r="A1168" s="5" t="s">
        <v>2231</v>
      </c>
      <c r="B1168" s="6" t="s">
        <v>2232</v>
      </c>
      <c r="C1168" s="6">
        <f t="shared" si="1"/>
        <v>1848</v>
      </c>
      <c r="D1168" s="6">
        <f t="shared" si="62"/>
        <v>190</v>
      </c>
      <c r="E1168" s="7">
        <v>0.0</v>
      </c>
      <c r="F1168" s="8"/>
      <c r="G1168" s="6">
        <f t="shared" si="3"/>
        <v>3432</v>
      </c>
      <c r="H1168" s="6">
        <f t="shared" si="4"/>
        <v>10060</v>
      </c>
      <c r="I1168" s="6">
        <f t="shared" si="5"/>
        <v>25558</v>
      </c>
      <c r="J1168" s="6">
        <f t="shared" si="6"/>
        <v>55855</v>
      </c>
      <c r="K1168" s="9"/>
      <c r="L1168" s="9"/>
      <c r="M1168" s="9"/>
      <c r="N1168" s="9">
        <f t="shared" si="7"/>
        <v>30.2245671</v>
      </c>
      <c r="O1168" s="10">
        <f t="shared" si="8"/>
        <v>16.15384615</v>
      </c>
      <c r="P1168" s="9">
        <v>7.0</v>
      </c>
      <c r="Q1168" s="11" t="str">
        <f t="shared" si="9"/>
        <v>cobertura correcta</v>
      </c>
      <c r="R1168" s="12"/>
      <c r="S1168" s="8"/>
      <c r="T1168" s="12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</row>
    <row r="1169" ht="15.75" customHeight="1">
      <c r="A1169" s="5" t="s">
        <v>2233</v>
      </c>
      <c r="B1169" s="6" t="s">
        <v>2234</v>
      </c>
      <c r="C1169" s="6">
        <f t="shared" si="1"/>
        <v>1424</v>
      </c>
      <c r="D1169" s="6">
        <f t="shared" si="62"/>
        <v>79</v>
      </c>
      <c r="E1169" s="7">
        <v>0.0</v>
      </c>
      <c r="F1169" s="8"/>
      <c r="G1169" s="6">
        <f t="shared" si="3"/>
        <v>8634</v>
      </c>
      <c r="H1169" s="6">
        <f t="shared" si="4"/>
        <v>11786</v>
      </c>
      <c r="I1169" s="6">
        <f t="shared" si="5"/>
        <v>23832</v>
      </c>
      <c r="J1169" s="6">
        <f t="shared" si="6"/>
        <v>98257</v>
      </c>
      <c r="K1169" s="9"/>
      <c r="L1169" s="9"/>
      <c r="M1169" s="9"/>
      <c r="N1169" s="9">
        <f t="shared" si="7"/>
        <v>69.00070225</v>
      </c>
      <c r="O1169" s="10">
        <f t="shared" si="8"/>
        <v>4.947880473</v>
      </c>
      <c r="P1169" s="9">
        <v>7.0</v>
      </c>
      <c r="Q1169" s="11" t="str">
        <f t="shared" si="9"/>
        <v>¡Compra YA!</v>
      </c>
      <c r="R1169" s="12"/>
      <c r="S1169" s="8"/>
      <c r="T1169" s="12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</row>
    <row r="1170" ht="15.75" customHeight="1">
      <c r="A1170" s="5" t="s">
        <v>2235</v>
      </c>
      <c r="B1170" s="6" t="s">
        <v>2236</v>
      </c>
      <c r="C1170" s="6">
        <f t="shared" si="1"/>
        <v>3516</v>
      </c>
      <c r="D1170" s="6">
        <f t="shared" si="62"/>
        <v>25</v>
      </c>
      <c r="E1170" s="7">
        <v>0.0</v>
      </c>
      <c r="F1170" s="8"/>
      <c r="G1170" s="6">
        <f t="shared" si="3"/>
        <v>5132</v>
      </c>
      <c r="H1170" s="6">
        <f t="shared" si="4"/>
        <v>9703</v>
      </c>
      <c r="I1170" s="6">
        <f t="shared" si="5"/>
        <v>28938</v>
      </c>
      <c r="J1170" s="6">
        <f t="shared" si="6"/>
        <v>46043</v>
      </c>
      <c r="K1170" s="9"/>
      <c r="L1170" s="9"/>
      <c r="M1170" s="9"/>
      <c r="N1170" s="9">
        <f t="shared" si="7"/>
        <v>13.09527873</v>
      </c>
      <c r="O1170" s="10">
        <f t="shared" si="8"/>
        <v>20.55339049</v>
      </c>
      <c r="P1170" s="9">
        <v>7.0</v>
      </c>
      <c r="Q1170" s="11" t="str">
        <f t="shared" si="9"/>
        <v>cobertura correcta</v>
      </c>
      <c r="R1170" s="12"/>
      <c r="S1170" s="8"/>
      <c r="T1170" s="12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</row>
    <row r="1171" ht="15.75" customHeight="1">
      <c r="A1171" s="5" t="s">
        <v>2237</v>
      </c>
      <c r="B1171" s="6" t="s">
        <v>2238</v>
      </c>
      <c r="C1171" s="6">
        <f t="shared" si="1"/>
        <v>7358</v>
      </c>
      <c r="D1171" s="7">
        <v>0.0</v>
      </c>
      <c r="E1171" s="7">
        <v>0.0</v>
      </c>
      <c r="F1171" s="8"/>
      <c r="G1171" s="6">
        <f t="shared" si="3"/>
        <v>3951</v>
      </c>
      <c r="H1171" s="6">
        <f t="shared" si="4"/>
        <v>13810</v>
      </c>
      <c r="I1171" s="6">
        <f t="shared" si="5"/>
        <v>24994</v>
      </c>
      <c r="J1171" s="6">
        <f t="shared" si="6"/>
        <v>84615</v>
      </c>
      <c r="K1171" s="9"/>
      <c r="L1171" s="9"/>
      <c r="M1171" s="9"/>
      <c r="N1171" s="9">
        <f t="shared" si="7"/>
        <v>11.49972819</v>
      </c>
      <c r="O1171" s="10">
        <f t="shared" si="8"/>
        <v>55.86940015</v>
      </c>
      <c r="P1171" s="9">
        <v>7.0</v>
      </c>
      <c r="Q1171" s="11" t="str">
        <f t="shared" si="9"/>
        <v>cobertura correcta</v>
      </c>
      <c r="R1171" s="12"/>
      <c r="S1171" s="8"/>
      <c r="T1171" s="12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</row>
    <row r="1172" ht="15.75" customHeight="1">
      <c r="A1172" s="5" t="s">
        <v>2239</v>
      </c>
      <c r="B1172" s="6" t="s">
        <v>2240</v>
      </c>
      <c r="C1172" s="6">
        <f t="shared" si="1"/>
        <v>7009</v>
      </c>
      <c r="D1172" s="6">
        <f>RANDBETWEEN(0, 200)</f>
        <v>77</v>
      </c>
      <c r="E1172" s="7">
        <v>0.0</v>
      </c>
      <c r="F1172" s="8"/>
      <c r="G1172" s="6">
        <f t="shared" si="3"/>
        <v>6688</v>
      </c>
      <c r="H1172" s="6">
        <f t="shared" si="4"/>
        <v>15298</v>
      </c>
      <c r="I1172" s="6">
        <f t="shared" si="5"/>
        <v>25824</v>
      </c>
      <c r="J1172" s="6">
        <f t="shared" si="6"/>
        <v>40415</v>
      </c>
      <c r="K1172" s="9"/>
      <c r="L1172" s="9"/>
      <c r="M1172" s="9"/>
      <c r="N1172" s="9">
        <f t="shared" si="7"/>
        <v>5.766157797</v>
      </c>
      <c r="O1172" s="10">
        <f t="shared" si="8"/>
        <v>31.43989234</v>
      </c>
      <c r="P1172" s="9">
        <v>7.0</v>
      </c>
      <c r="Q1172" s="11" t="str">
        <f t="shared" si="9"/>
        <v>cobertura correcta</v>
      </c>
      <c r="R1172" s="12"/>
      <c r="S1172" s="8"/>
      <c r="T1172" s="12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</row>
    <row r="1173" ht="15.75" customHeight="1">
      <c r="A1173" s="5" t="s">
        <v>2241</v>
      </c>
      <c r="B1173" s="6"/>
      <c r="C1173" s="6">
        <f t="shared" si="1"/>
        <v>7221</v>
      </c>
      <c r="D1173" s="7">
        <v>0.0</v>
      </c>
      <c r="E1173" s="7">
        <v>0.0</v>
      </c>
      <c r="F1173" s="8"/>
      <c r="G1173" s="6">
        <f t="shared" si="3"/>
        <v>4236</v>
      </c>
      <c r="H1173" s="6">
        <f t="shared" si="4"/>
        <v>10787</v>
      </c>
      <c r="I1173" s="6">
        <f t="shared" si="5"/>
        <v>19160</v>
      </c>
      <c r="J1173" s="6">
        <f t="shared" si="6"/>
        <v>88601</v>
      </c>
      <c r="K1173" s="9"/>
      <c r="L1173" s="9"/>
      <c r="M1173" s="9"/>
      <c r="N1173" s="9">
        <f t="shared" si="7"/>
        <v>12.26990722</v>
      </c>
      <c r="O1173" s="10">
        <f t="shared" si="8"/>
        <v>51.14022663</v>
      </c>
      <c r="P1173" s="9">
        <v>15.0</v>
      </c>
      <c r="Q1173" s="11" t="str">
        <f t="shared" si="9"/>
        <v>cobertura correcta</v>
      </c>
      <c r="R1173" s="12"/>
      <c r="S1173" s="8"/>
      <c r="T1173" s="12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</row>
    <row r="1174" ht="15.75" customHeight="1">
      <c r="A1174" s="5" t="s">
        <v>2242</v>
      </c>
      <c r="B1174" s="6" t="s">
        <v>2243</v>
      </c>
      <c r="C1174" s="6">
        <f t="shared" si="1"/>
        <v>3543</v>
      </c>
      <c r="D1174" s="6">
        <f t="shared" ref="D1174:D1179" si="63">RANDBETWEEN(0, 200)</f>
        <v>151</v>
      </c>
      <c r="E1174" s="7">
        <v>0.0</v>
      </c>
      <c r="F1174" s="8"/>
      <c r="G1174" s="6">
        <f t="shared" si="3"/>
        <v>8943</v>
      </c>
      <c r="H1174" s="6">
        <f t="shared" si="4"/>
        <v>18969</v>
      </c>
      <c r="I1174" s="6">
        <f t="shared" si="5"/>
        <v>19526</v>
      </c>
      <c r="J1174" s="6">
        <f t="shared" si="6"/>
        <v>84947</v>
      </c>
      <c r="K1174" s="9"/>
      <c r="L1174" s="9"/>
      <c r="M1174" s="9"/>
      <c r="N1174" s="9">
        <f t="shared" si="7"/>
        <v>23.97600903</v>
      </c>
      <c r="O1174" s="10">
        <f t="shared" si="8"/>
        <v>11.8852734</v>
      </c>
      <c r="P1174" s="9">
        <v>15.0</v>
      </c>
      <c r="Q1174" s="11" t="str">
        <f t="shared" si="9"/>
        <v>¡Compra YA!</v>
      </c>
      <c r="R1174" s="12"/>
      <c r="S1174" s="8"/>
      <c r="T1174" s="12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</row>
    <row r="1175" ht="15.75" customHeight="1">
      <c r="A1175" s="5" t="s">
        <v>2244</v>
      </c>
      <c r="B1175" s="6" t="s">
        <v>2245</v>
      </c>
      <c r="C1175" s="6">
        <f t="shared" si="1"/>
        <v>6314</v>
      </c>
      <c r="D1175" s="6">
        <f t="shared" si="63"/>
        <v>92</v>
      </c>
      <c r="E1175" s="7">
        <v>0.0</v>
      </c>
      <c r="F1175" s="8"/>
      <c r="G1175" s="6">
        <f t="shared" si="3"/>
        <v>8147</v>
      </c>
      <c r="H1175" s="6">
        <f t="shared" si="4"/>
        <v>18891</v>
      </c>
      <c r="I1175" s="6">
        <f t="shared" si="5"/>
        <v>20233</v>
      </c>
      <c r="J1175" s="6">
        <f t="shared" si="6"/>
        <v>29467</v>
      </c>
      <c r="K1175" s="9"/>
      <c r="L1175" s="9"/>
      <c r="M1175" s="9"/>
      <c r="N1175" s="9">
        <f t="shared" si="7"/>
        <v>4.66693063</v>
      </c>
      <c r="O1175" s="10">
        <f t="shared" si="8"/>
        <v>23.25027618</v>
      </c>
      <c r="P1175" s="9">
        <v>15.0</v>
      </c>
      <c r="Q1175" s="11" t="str">
        <f t="shared" si="9"/>
        <v>cobertura correcta</v>
      </c>
      <c r="R1175" s="12"/>
      <c r="S1175" s="8"/>
      <c r="T1175" s="12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</row>
    <row r="1176" ht="15.75" customHeight="1">
      <c r="A1176" s="5" t="s">
        <v>2246</v>
      </c>
      <c r="B1176" s="6" t="s">
        <v>2247</v>
      </c>
      <c r="C1176" s="6">
        <f t="shared" si="1"/>
        <v>7069</v>
      </c>
      <c r="D1176" s="6">
        <f t="shared" si="63"/>
        <v>126</v>
      </c>
      <c r="E1176" s="7">
        <v>0.0</v>
      </c>
      <c r="F1176" s="8"/>
      <c r="G1176" s="6">
        <f t="shared" si="3"/>
        <v>5197</v>
      </c>
      <c r="H1176" s="6">
        <f t="shared" si="4"/>
        <v>11737</v>
      </c>
      <c r="I1176" s="6">
        <f t="shared" si="5"/>
        <v>25184</v>
      </c>
      <c r="J1176" s="6">
        <f t="shared" si="6"/>
        <v>87291</v>
      </c>
      <c r="K1176" s="9"/>
      <c r="L1176" s="9"/>
      <c r="M1176" s="9"/>
      <c r="N1176" s="9">
        <f t="shared" si="7"/>
        <v>12.34842269</v>
      </c>
      <c r="O1176" s="10">
        <f t="shared" si="8"/>
        <v>40.80623437</v>
      </c>
      <c r="P1176" s="9">
        <v>15.0</v>
      </c>
      <c r="Q1176" s="11" t="str">
        <f t="shared" si="9"/>
        <v>cobertura correcta</v>
      </c>
      <c r="R1176" s="12"/>
      <c r="S1176" s="8"/>
      <c r="T1176" s="12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</row>
    <row r="1177" ht="15.75" customHeight="1">
      <c r="A1177" s="5" t="s">
        <v>2248</v>
      </c>
      <c r="B1177" s="6" t="s">
        <v>2249</v>
      </c>
      <c r="C1177" s="6">
        <f t="shared" si="1"/>
        <v>2674</v>
      </c>
      <c r="D1177" s="6">
        <f t="shared" si="63"/>
        <v>191</v>
      </c>
      <c r="E1177" s="7">
        <v>0.0</v>
      </c>
      <c r="F1177" s="8"/>
      <c r="G1177" s="6">
        <f t="shared" si="3"/>
        <v>3901</v>
      </c>
      <c r="H1177" s="6">
        <f t="shared" si="4"/>
        <v>17980</v>
      </c>
      <c r="I1177" s="6">
        <f t="shared" si="5"/>
        <v>24374</v>
      </c>
      <c r="J1177" s="6">
        <f t="shared" si="6"/>
        <v>33958</v>
      </c>
      <c r="K1177" s="9"/>
      <c r="L1177" s="9"/>
      <c r="M1177" s="9"/>
      <c r="N1177" s="9">
        <f t="shared" si="7"/>
        <v>12.69932685</v>
      </c>
      <c r="O1177" s="10">
        <f t="shared" si="8"/>
        <v>20.56395796</v>
      </c>
      <c r="P1177" s="9">
        <v>30.0</v>
      </c>
      <c r="Q1177" s="11" t="str">
        <f t="shared" si="9"/>
        <v>¡Compra YA!</v>
      </c>
      <c r="R1177" s="12"/>
      <c r="S1177" s="8"/>
      <c r="T1177" s="12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</row>
    <row r="1178" ht="15.75" customHeight="1">
      <c r="A1178" s="5" t="s">
        <v>2250</v>
      </c>
      <c r="B1178" s="6"/>
      <c r="C1178" s="6">
        <f t="shared" si="1"/>
        <v>1509</v>
      </c>
      <c r="D1178" s="6">
        <f t="shared" si="63"/>
        <v>172</v>
      </c>
      <c r="E1178" s="7">
        <v>0.0</v>
      </c>
      <c r="F1178" s="8"/>
      <c r="G1178" s="6">
        <f t="shared" si="3"/>
        <v>8548</v>
      </c>
      <c r="H1178" s="6">
        <f t="shared" si="4"/>
        <v>13642</v>
      </c>
      <c r="I1178" s="6">
        <f t="shared" si="5"/>
        <v>22455</v>
      </c>
      <c r="J1178" s="6">
        <f t="shared" si="6"/>
        <v>72055</v>
      </c>
      <c r="K1178" s="9"/>
      <c r="L1178" s="9"/>
      <c r="M1178" s="9"/>
      <c r="N1178" s="9">
        <f t="shared" si="7"/>
        <v>47.75016567</v>
      </c>
      <c r="O1178" s="10">
        <f t="shared" si="8"/>
        <v>5.295975667</v>
      </c>
      <c r="P1178" s="9">
        <v>15.0</v>
      </c>
      <c r="Q1178" s="11" t="str">
        <f t="shared" si="9"/>
        <v>¡Compra YA!</v>
      </c>
      <c r="R1178" s="12"/>
      <c r="S1178" s="8"/>
      <c r="T1178" s="12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</row>
    <row r="1179" ht="15.75" customHeight="1">
      <c r="A1179" s="5" t="s">
        <v>2251</v>
      </c>
      <c r="B1179" s="6"/>
      <c r="C1179" s="6">
        <f t="shared" si="1"/>
        <v>6224</v>
      </c>
      <c r="D1179" s="6">
        <f t="shared" si="63"/>
        <v>57</v>
      </c>
      <c r="E1179" s="7">
        <v>0.0</v>
      </c>
      <c r="F1179" s="8"/>
      <c r="G1179" s="6">
        <f t="shared" si="3"/>
        <v>7569</v>
      </c>
      <c r="H1179" s="6">
        <f t="shared" si="4"/>
        <v>18969</v>
      </c>
      <c r="I1179" s="6">
        <f t="shared" si="5"/>
        <v>28544</v>
      </c>
      <c r="J1179" s="6">
        <f t="shared" si="6"/>
        <v>31825</v>
      </c>
      <c r="K1179" s="9"/>
      <c r="L1179" s="9"/>
      <c r="M1179" s="9"/>
      <c r="N1179" s="9">
        <f t="shared" si="7"/>
        <v>5.113271208</v>
      </c>
      <c r="O1179" s="10">
        <f t="shared" si="8"/>
        <v>24.66904479</v>
      </c>
      <c r="P1179" s="9">
        <v>15.0</v>
      </c>
      <c r="Q1179" s="11" t="str">
        <f t="shared" si="9"/>
        <v>cobertura correcta</v>
      </c>
      <c r="R1179" s="12"/>
      <c r="S1179" s="8"/>
      <c r="T1179" s="12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</row>
    <row r="1180" ht="15.75" customHeight="1">
      <c r="A1180" s="5" t="s">
        <v>2252</v>
      </c>
      <c r="B1180" s="6"/>
      <c r="C1180" s="6">
        <f t="shared" si="1"/>
        <v>4367</v>
      </c>
      <c r="D1180" s="7">
        <v>0.0</v>
      </c>
      <c r="E1180" s="7">
        <v>0.0</v>
      </c>
      <c r="F1180" s="8"/>
      <c r="G1180" s="6">
        <f t="shared" si="3"/>
        <v>4851</v>
      </c>
      <c r="H1180" s="6">
        <f t="shared" si="4"/>
        <v>15435</v>
      </c>
      <c r="I1180" s="6">
        <f t="shared" si="5"/>
        <v>24511</v>
      </c>
      <c r="J1180" s="6">
        <f t="shared" si="6"/>
        <v>59400</v>
      </c>
      <c r="K1180" s="9"/>
      <c r="L1180" s="9"/>
      <c r="M1180" s="9"/>
      <c r="N1180" s="9">
        <f t="shared" si="7"/>
        <v>13.60201511</v>
      </c>
      <c r="O1180" s="10">
        <f t="shared" si="8"/>
        <v>27.00680272</v>
      </c>
      <c r="P1180" s="9">
        <v>15.0</v>
      </c>
      <c r="Q1180" s="11" t="str">
        <f t="shared" si="9"/>
        <v>cobertura correcta</v>
      </c>
      <c r="R1180" s="12"/>
      <c r="S1180" s="8"/>
      <c r="T1180" s="12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</row>
    <row r="1181" ht="15.75" customHeight="1">
      <c r="A1181" s="5" t="s">
        <v>2253</v>
      </c>
      <c r="B1181" s="6"/>
      <c r="C1181" s="6">
        <f t="shared" si="1"/>
        <v>7592</v>
      </c>
      <c r="D1181" s="6">
        <f>RANDBETWEEN(0, 200)</f>
        <v>103</v>
      </c>
      <c r="E1181" s="7">
        <v>0.0</v>
      </c>
      <c r="F1181" s="8"/>
      <c r="G1181" s="6">
        <f t="shared" si="3"/>
        <v>4189</v>
      </c>
      <c r="H1181" s="6">
        <f t="shared" si="4"/>
        <v>14567</v>
      </c>
      <c r="I1181" s="6">
        <f t="shared" si="5"/>
        <v>26686</v>
      </c>
      <c r="J1181" s="6">
        <f t="shared" si="6"/>
        <v>48117</v>
      </c>
      <c r="K1181" s="9"/>
      <c r="L1181" s="9"/>
      <c r="M1181" s="9"/>
      <c r="N1181" s="9">
        <f t="shared" si="7"/>
        <v>6.337855638</v>
      </c>
      <c r="O1181" s="10">
        <f t="shared" si="8"/>
        <v>54.37097159</v>
      </c>
      <c r="P1181" s="9">
        <v>15.0</v>
      </c>
      <c r="Q1181" s="11" t="str">
        <f t="shared" si="9"/>
        <v>cobertura correcta</v>
      </c>
      <c r="R1181" s="12"/>
      <c r="S1181" s="8"/>
      <c r="T1181" s="12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</row>
    <row r="1182" ht="15.75" customHeight="1">
      <c r="A1182" s="5" t="s">
        <v>2254</v>
      </c>
      <c r="B1182" s="6" t="s">
        <v>2255</v>
      </c>
      <c r="C1182" s="6">
        <f t="shared" si="1"/>
        <v>6166</v>
      </c>
      <c r="D1182" s="7">
        <v>0.0</v>
      </c>
      <c r="E1182" s="7">
        <v>0.0</v>
      </c>
      <c r="F1182" s="8"/>
      <c r="G1182" s="6">
        <f t="shared" si="3"/>
        <v>4672</v>
      </c>
      <c r="H1182" s="6">
        <f t="shared" si="4"/>
        <v>17785</v>
      </c>
      <c r="I1182" s="6">
        <f t="shared" si="5"/>
        <v>24610</v>
      </c>
      <c r="J1182" s="6">
        <f t="shared" si="6"/>
        <v>36332</v>
      </c>
      <c r="K1182" s="9"/>
      <c r="L1182" s="9"/>
      <c r="M1182" s="9"/>
      <c r="N1182" s="9">
        <f t="shared" si="7"/>
        <v>5.892312682</v>
      </c>
      <c r="O1182" s="10">
        <f t="shared" si="8"/>
        <v>39.59332192</v>
      </c>
      <c r="P1182" s="9">
        <v>7.0</v>
      </c>
      <c r="Q1182" s="11" t="str">
        <f t="shared" si="9"/>
        <v>cobertura correcta</v>
      </c>
      <c r="R1182" s="12"/>
      <c r="S1182" s="8"/>
      <c r="T1182" s="12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</row>
    <row r="1183" ht="15.75" customHeight="1">
      <c r="A1183" s="5" t="s">
        <v>2256</v>
      </c>
      <c r="B1183" s="6" t="s">
        <v>2257</v>
      </c>
      <c r="C1183" s="6">
        <f t="shared" si="1"/>
        <v>4636</v>
      </c>
      <c r="D1183" s="6">
        <f t="shared" ref="D1183:D1189" si="64">RANDBETWEEN(0, 200)</f>
        <v>58</v>
      </c>
      <c r="E1183" s="7">
        <v>0.0</v>
      </c>
      <c r="F1183" s="8"/>
      <c r="G1183" s="6">
        <f t="shared" si="3"/>
        <v>2788</v>
      </c>
      <c r="H1183" s="6">
        <f t="shared" si="4"/>
        <v>10392</v>
      </c>
      <c r="I1183" s="6">
        <f t="shared" si="5"/>
        <v>23524</v>
      </c>
      <c r="J1183" s="6">
        <f t="shared" si="6"/>
        <v>86051</v>
      </c>
      <c r="K1183" s="9"/>
      <c r="L1183" s="9"/>
      <c r="M1183" s="9"/>
      <c r="N1183" s="9">
        <f t="shared" si="7"/>
        <v>18.56147541</v>
      </c>
      <c r="O1183" s="10">
        <f t="shared" si="8"/>
        <v>49.88522238</v>
      </c>
      <c r="P1183" s="9">
        <v>7.0</v>
      </c>
      <c r="Q1183" s="11" t="str">
        <f t="shared" si="9"/>
        <v>cobertura correcta</v>
      </c>
      <c r="R1183" s="12"/>
      <c r="S1183" s="8"/>
      <c r="T1183" s="12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</row>
    <row r="1184" ht="15.75" customHeight="1">
      <c r="A1184" s="5" t="s">
        <v>2258</v>
      </c>
      <c r="B1184" s="6" t="s">
        <v>2259</v>
      </c>
      <c r="C1184" s="6">
        <f t="shared" si="1"/>
        <v>7087</v>
      </c>
      <c r="D1184" s="6">
        <f t="shared" si="64"/>
        <v>84</v>
      </c>
      <c r="E1184" s="7">
        <v>0.0</v>
      </c>
      <c r="F1184" s="8"/>
      <c r="G1184" s="6">
        <f t="shared" si="3"/>
        <v>2361</v>
      </c>
      <c r="H1184" s="6">
        <f t="shared" si="4"/>
        <v>14793</v>
      </c>
      <c r="I1184" s="6">
        <f t="shared" si="5"/>
        <v>26355</v>
      </c>
      <c r="J1184" s="6">
        <f t="shared" si="6"/>
        <v>89823</v>
      </c>
      <c r="K1184" s="9"/>
      <c r="L1184" s="9"/>
      <c r="M1184" s="9"/>
      <c r="N1184" s="9">
        <f t="shared" si="7"/>
        <v>12.67433329</v>
      </c>
      <c r="O1184" s="10">
        <f t="shared" si="8"/>
        <v>90.05082592</v>
      </c>
      <c r="P1184" s="9">
        <v>7.0</v>
      </c>
      <c r="Q1184" s="11" t="str">
        <f t="shared" si="9"/>
        <v>cobertura correcta</v>
      </c>
      <c r="R1184" s="12"/>
      <c r="S1184" s="8"/>
      <c r="T1184" s="12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ht="15.75" customHeight="1">
      <c r="A1185" s="5" t="s">
        <v>2260</v>
      </c>
      <c r="B1185" s="6" t="s">
        <v>2261</v>
      </c>
      <c r="C1185" s="6">
        <f t="shared" si="1"/>
        <v>5341</v>
      </c>
      <c r="D1185" s="6">
        <f t="shared" si="64"/>
        <v>80</v>
      </c>
      <c r="E1185" s="7">
        <v>0.0</v>
      </c>
      <c r="F1185" s="8"/>
      <c r="G1185" s="6">
        <f t="shared" si="3"/>
        <v>8232</v>
      </c>
      <c r="H1185" s="6">
        <f t="shared" si="4"/>
        <v>13178</v>
      </c>
      <c r="I1185" s="6">
        <f t="shared" si="5"/>
        <v>22853</v>
      </c>
      <c r="J1185" s="6">
        <f t="shared" si="6"/>
        <v>71628</v>
      </c>
      <c r="K1185" s="9"/>
      <c r="L1185" s="9"/>
      <c r="M1185" s="9"/>
      <c r="N1185" s="9">
        <f t="shared" si="7"/>
        <v>13.41097173</v>
      </c>
      <c r="O1185" s="10">
        <f t="shared" si="8"/>
        <v>19.46428571</v>
      </c>
      <c r="P1185" s="9">
        <v>7.0</v>
      </c>
      <c r="Q1185" s="11" t="str">
        <f t="shared" si="9"/>
        <v>cobertura correcta</v>
      </c>
      <c r="R1185" s="12"/>
      <c r="S1185" s="8"/>
      <c r="T1185" s="12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</row>
    <row r="1186" ht="15.75" customHeight="1">
      <c r="A1186" s="5" t="s">
        <v>2262</v>
      </c>
      <c r="B1186" s="6" t="s">
        <v>2263</v>
      </c>
      <c r="C1186" s="6">
        <f t="shared" si="1"/>
        <v>6331</v>
      </c>
      <c r="D1186" s="6">
        <f t="shared" si="64"/>
        <v>101</v>
      </c>
      <c r="E1186" s="7">
        <v>0.0</v>
      </c>
      <c r="F1186" s="8"/>
      <c r="G1186" s="6">
        <f t="shared" si="3"/>
        <v>3820</v>
      </c>
      <c r="H1186" s="6">
        <f t="shared" si="4"/>
        <v>13139</v>
      </c>
      <c r="I1186" s="6">
        <f t="shared" si="5"/>
        <v>22216</v>
      </c>
      <c r="J1186" s="6">
        <f t="shared" si="6"/>
        <v>75757</v>
      </c>
      <c r="K1186" s="9"/>
      <c r="L1186" s="9"/>
      <c r="M1186" s="9"/>
      <c r="N1186" s="9">
        <f t="shared" si="7"/>
        <v>11.96604012</v>
      </c>
      <c r="O1186" s="10">
        <f t="shared" si="8"/>
        <v>49.71989529</v>
      </c>
      <c r="P1186" s="9">
        <v>20.0</v>
      </c>
      <c r="Q1186" s="11" t="str">
        <f t="shared" si="9"/>
        <v>cobertura correcta</v>
      </c>
      <c r="R1186" s="12"/>
      <c r="S1186" s="8"/>
      <c r="T1186" s="12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</row>
    <row r="1187" ht="15.75" customHeight="1">
      <c r="A1187" s="5" t="s">
        <v>2264</v>
      </c>
      <c r="B1187" s="6" t="s">
        <v>2265</v>
      </c>
      <c r="C1187" s="6">
        <f t="shared" si="1"/>
        <v>1948</v>
      </c>
      <c r="D1187" s="6">
        <f t="shared" si="64"/>
        <v>97</v>
      </c>
      <c r="E1187" s="7">
        <v>0.0</v>
      </c>
      <c r="F1187" s="8"/>
      <c r="G1187" s="6">
        <f t="shared" si="3"/>
        <v>4434</v>
      </c>
      <c r="H1187" s="6">
        <f t="shared" si="4"/>
        <v>15922</v>
      </c>
      <c r="I1187" s="6">
        <f t="shared" si="5"/>
        <v>28855</v>
      </c>
      <c r="J1187" s="6">
        <f t="shared" si="6"/>
        <v>92942</v>
      </c>
      <c r="K1187" s="9"/>
      <c r="L1187" s="9"/>
      <c r="M1187" s="9"/>
      <c r="N1187" s="9">
        <f t="shared" si="7"/>
        <v>47.71149897</v>
      </c>
      <c r="O1187" s="10">
        <f t="shared" si="8"/>
        <v>13.17997294</v>
      </c>
      <c r="P1187" s="9">
        <v>7.0</v>
      </c>
      <c r="Q1187" s="11" t="str">
        <f t="shared" si="9"/>
        <v>cobertura correcta</v>
      </c>
      <c r="R1187" s="12"/>
      <c r="S1187" s="8"/>
      <c r="T1187" s="12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ht="15.75" customHeight="1">
      <c r="A1188" s="5" t="s">
        <v>2266</v>
      </c>
      <c r="B1188" s="6" t="s">
        <v>2267</v>
      </c>
      <c r="C1188" s="6">
        <f t="shared" si="1"/>
        <v>4968</v>
      </c>
      <c r="D1188" s="6">
        <f t="shared" si="64"/>
        <v>180</v>
      </c>
      <c r="E1188" s="7">
        <v>0.0</v>
      </c>
      <c r="F1188" s="8"/>
      <c r="G1188" s="6">
        <f t="shared" si="3"/>
        <v>2869</v>
      </c>
      <c r="H1188" s="6">
        <f t="shared" si="4"/>
        <v>12653</v>
      </c>
      <c r="I1188" s="6">
        <f t="shared" si="5"/>
        <v>20300</v>
      </c>
      <c r="J1188" s="6">
        <f t="shared" si="6"/>
        <v>97946</v>
      </c>
      <c r="K1188" s="9"/>
      <c r="L1188" s="9"/>
      <c r="M1188" s="9"/>
      <c r="N1188" s="9">
        <f t="shared" si="7"/>
        <v>19.71537842</v>
      </c>
      <c r="O1188" s="10">
        <f t="shared" si="8"/>
        <v>51.94841408</v>
      </c>
      <c r="P1188" s="9">
        <v>7.0</v>
      </c>
      <c r="Q1188" s="11" t="str">
        <f t="shared" si="9"/>
        <v>cobertura correcta</v>
      </c>
      <c r="R1188" s="12"/>
      <c r="S1188" s="8"/>
      <c r="T1188" s="12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</row>
    <row r="1189" ht="15.75" customHeight="1">
      <c r="A1189" s="5" t="s">
        <v>2268</v>
      </c>
      <c r="B1189" s="6" t="s">
        <v>2269</v>
      </c>
      <c r="C1189" s="6">
        <f t="shared" si="1"/>
        <v>6796</v>
      </c>
      <c r="D1189" s="6">
        <f t="shared" si="64"/>
        <v>71</v>
      </c>
      <c r="E1189" s="7">
        <v>0.0</v>
      </c>
      <c r="F1189" s="8"/>
      <c r="G1189" s="6">
        <f t="shared" si="3"/>
        <v>1723</v>
      </c>
      <c r="H1189" s="6">
        <f t="shared" si="4"/>
        <v>9223</v>
      </c>
      <c r="I1189" s="6">
        <f t="shared" si="5"/>
        <v>25709</v>
      </c>
      <c r="J1189" s="6">
        <f t="shared" si="6"/>
        <v>61256</v>
      </c>
      <c r="K1189" s="9"/>
      <c r="L1189" s="9"/>
      <c r="M1189" s="9"/>
      <c r="N1189" s="9">
        <f t="shared" si="7"/>
        <v>9.013537375</v>
      </c>
      <c r="O1189" s="10">
        <f t="shared" si="8"/>
        <v>118.3284968</v>
      </c>
      <c r="P1189" s="9">
        <v>15.0</v>
      </c>
      <c r="Q1189" s="11" t="str">
        <f t="shared" si="9"/>
        <v>cobertura correcta</v>
      </c>
      <c r="R1189" s="12"/>
      <c r="S1189" s="8"/>
      <c r="T1189" s="12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</row>
    <row r="1190" ht="15.75" customHeight="1">
      <c r="A1190" s="5" t="s">
        <v>2270</v>
      </c>
      <c r="B1190" s="6" t="s">
        <v>2271</v>
      </c>
      <c r="C1190" s="6">
        <f t="shared" si="1"/>
        <v>7009</v>
      </c>
      <c r="D1190" s="7">
        <v>0.0</v>
      </c>
      <c r="E1190" s="7">
        <v>0.0</v>
      </c>
      <c r="F1190" s="8"/>
      <c r="G1190" s="6">
        <f t="shared" si="3"/>
        <v>7492</v>
      </c>
      <c r="H1190" s="6">
        <f t="shared" si="4"/>
        <v>15910</v>
      </c>
      <c r="I1190" s="6">
        <f t="shared" si="5"/>
        <v>21696</v>
      </c>
      <c r="J1190" s="6">
        <f t="shared" si="6"/>
        <v>49700</v>
      </c>
      <c r="K1190" s="9"/>
      <c r="L1190" s="9"/>
      <c r="M1190" s="9"/>
      <c r="N1190" s="9">
        <f t="shared" si="7"/>
        <v>7.09088315</v>
      </c>
      <c r="O1190" s="10">
        <f t="shared" si="8"/>
        <v>28.065937</v>
      </c>
      <c r="P1190" s="9">
        <v>15.0</v>
      </c>
      <c r="Q1190" s="11" t="str">
        <f t="shared" si="9"/>
        <v>cobertura correcta</v>
      </c>
      <c r="R1190" s="12"/>
      <c r="S1190" s="8"/>
      <c r="T1190" s="12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</row>
    <row r="1191" ht="15.75" customHeight="1">
      <c r="A1191" s="5" t="s">
        <v>2272</v>
      </c>
      <c r="B1191" s="6" t="s">
        <v>2273</v>
      </c>
      <c r="C1191" s="6">
        <f t="shared" si="1"/>
        <v>2966</v>
      </c>
      <c r="D1191" s="7">
        <v>0.0</v>
      </c>
      <c r="E1191" s="7">
        <v>0.0</v>
      </c>
      <c r="F1191" s="8"/>
      <c r="G1191" s="6">
        <f t="shared" si="3"/>
        <v>5547</v>
      </c>
      <c r="H1191" s="6">
        <f t="shared" si="4"/>
        <v>18398</v>
      </c>
      <c r="I1191" s="6">
        <f t="shared" si="5"/>
        <v>20674</v>
      </c>
      <c r="J1191" s="6">
        <f t="shared" si="6"/>
        <v>77387</v>
      </c>
      <c r="K1191" s="9"/>
      <c r="L1191" s="9"/>
      <c r="M1191" s="9"/>
      <c r="N1191" s="9">
        <f t="shared" si="7"/>
        <v>26.09136885</v>
      </c>
      <c r="O1191" s="10">
        <f t="shared" si="8"/>
        <v>16.0411033</v>
      </c>
      <c r="P1191" s="9">
        <v>7.0</v>
      </c>
      <c r="Q1191" s="11" t="str">
        <f t="shared" si="9"/>
        <v>cobertura correcta</v>
      </c>
      <c r="R1191" s="12"/>
      <c r="S1191" s="8"/>
      <c r="T1191" s="12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ht="15.75" customHeight="1">
      <c r="A1192" s="5" t="s">
        <v>2274</v>
      </c>
      <c r="B1192" s="6"/>
      <c r="C1192" s="6">
        <f t="shared" si="1"/>
        <v>8218</v>
      </c>
      <c r="D1192" s="7">
        <v>0.0</v>
      </c>
      <c r="E1192" s="7">
        <v>0.0</v>
      </c>
      <c r="F1192" s="8"/>
      <c r="G1192" s="6">
        <f t="shared" si="3"/>
        <v>5082</v>
      </c>
      <c r="H1192" s="6">
        <f t="shared" si="4"/>
        <v>14001</v>
      </c>
      <c r="I1192" s="6">
        <f t="shared" si="5"/>
        <v>19714</v>
      </c>
      <c r="J1192" s="6">
        <f t="shared" si="6"/>
        <v>90576</v>
      </c>
      <c r="K1192" s="9"/>
      <c r="L1192" s="9"/>
      <c r="M1192" s="9"/>
      <c r="N1192" s="9">
        <f t="shared" si="7"/>
        <v>11.02165977</v>
      </c>
      <c r="O1192" s="10">
        <f t="shared" si="8"/>
        <v>48.51239669</v>
      </c>
      <c r="P1192" s="9">
        <v>20.0</v>
      </c>
      <c r="Q1192" s="11" t="str">
        <f t="shared" si="9"/>
        <v>cobertura correcta</v>
      </c>
      <c r="R1192" s="12"/>
      <c r="S1192" s="8"/>
      <c r="T1192" s="12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</row>
    <row r="1193" ht="15.75" customHeight="1">
      <c r="A1193" s="5" t="s">
        <v>2275</v>
      </c>
      <c r="B1193" s="6"/>
      <c r="C1193" s="6">
        <f t="shared" si="1"/>
        <v>3848</v>
      </c>
      <c r="D1193" s="7">
        <v>0.0</v>
      </c>
      <c r="E1193" s="7">
        <v>0.0</v>
      </c>
      <c r="F1193" s="8"/>
      <c r="G1193" s="6">
        <f t="shared" si="3"/>
        <v>8466</v>
      </c>
      <c r="H1193" s="6">
        <f t="shared" si="4"/>
        <v>16733</v>
      </c>
      <c r="I1193" s="6">
        <f t="shared" si="5"/>
        <v>28162</v>
      </c>
      <c r="J1193" s="6">
        <f t="shared" si="6"/>
        <v>64550</v>
      </c>
      <c r="K1193" s="9"/>
      <c r="L1193" s="9"/>
      <c r="M1193" s="9"/>
      <c r="N1193" s="9">
        <f t="shared" si="7"/>
        <v>16.77494802</v>
      </c>
      <c r="O1193" s="10">
        <f t="shared" si="8"/>
        <v>13.63571935</v>
      </c>
      <c r="P1193" s="9">
        <v>7.0</v>
      </c>
      <c r="Q1193" s="11" t="str">
        <f t="shared" si="9"/>
        <v>cobertura correcta</v>
      </c>
      <c r="R1193" s="12"/>
      <c r="S1193" s="8"/>
      <c r="T1193" s="12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</row>
    <row r="1194" ht="15.75" customHeight="1">
      <c r="A1194" s="5" t="s">
        <v>2276</v>
      </c>
      <c r="B1194" s="6"/>
      <c r="C1194" s="6">
        <f t="shared" si="1"/>
        <v>2571</v>
      </c>
      <c r="D1194" s="7">
        <v>0.0</v>
      </c>
      <c r="E1194" s="7">
        <v>0.0</v>
      </c>
      <c r="F1194" s="8"/>
      <c r="G1194" s="6">
        <f t="shared" si="3"/>
        <v>5510</v>
      </c>
      <c r="H1194" s="6">
        <f t="shared" si="4"/>
        <v>9282</v>
      </c>
      <c r="I1194" s="6">
        <f t="shared" si="5"/>
        <v>19680</v>
      </c>
      <c r="J1194" s="6">
        <f t="shared" si="6"/>
        <v>54026</v>
      </c>
      <c r="K1194" s="9"/>
      <c r="L1194" s="9"/>
      <c r="M1194" s="9"/>
      <c r="N1194" s="9">
        <f t="shared" si="7"/>
        <v>21.01361338</v>
      </c>
      <c r="O1194" s="10">
        <f t="shared" si="8"/>
        <v>13.99818512</v>
      </c>
      <c r="P1194" s="9">
        <v>7.0</v>
      </c>
      <c r="Q1194" s="11" t="str">
        <f t="shared" si="9"/>
        <v>cobertura correcta</v>
      </c>
      <c r="R1194" s="12"/>
      <c r="S1194" s="8"/>
      <c r="T1194" s="12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</row>
    <row r="1195" ht="15.75" customHeight="1">
      <c r="A1195" s="5" t="s">
        <v>2277</v>
      </c>
      <c r="B1195" s="6" t="s">
        <v>2278</v>
      </c>
      <c r="C1195" s="6">
        <f t="shared" si="1"/>
        <v>7734</v>
      </c>
      <c r="D1195" s="7">
        <v>0.0</v>
      </c>
      <c r="E1195" s="7">
        <v>0.0</v>
      </c>
      <c r="F1195" s="8"/>
      <c r="G1195" s="6">
        <f t="shared" si="3"/>
        <v>3255</v>
      </c>
      <c r="H1195" s="6">
        <f t="shared" si="4"/>
        <v>12751</v>
      </c>
      <c r="I1195" s="6">
        <f t="shared" si="5"/>
        <v>19423</v>
      </c>
      <c r="J1195" s="6">
        <f t="shared" si="6"/>
        <v>33498</v>
      </c>
      <c r="K1195" s="9"/>
      <c r="L1195" s="9"/>
      <c r="M1195" s="9"/>
      <c r="N1195" s="9">
        <f t="shared" si="7"/>
        <v>4.331264546</v>
      </c>
      <c r="O1195" s="10">
        <f t="shared" si="8"/>
        <v>71.28110599</v>
      </c>
      <c r="P1195" s="9">
        <v>7.0</v>
      </c>
      <c r="Q1195" s="11" t="str">
        <f t="shared" si="9"/>
        <v>cobertura correcta</v>
      </c>
      <c r="R1195" s="12"/>
      <c r="S1195" s="8"/>
      <c r="T1195" s="12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</row>
    <row r="1196" ht="15.75" customHeight="1">
      <c r="A1196" s="5" t="s">
        <v>2279</v>
      </c>
      <c r="B1196" s="6" t="s">
        <v>2280</v>
      </c>
      <c r="C1196" s="6">
        <f t="shared" si="1"/>
        <v>5755</v>
      </c>
      <c r="D1196" s="7">
        <v>0.0</v>
      </c>
      <c r="E1196" s="7">
        <v>0.0</v>
      </c>
      <c r="F1196" s="8"/>
      <c r="G1196" s="6">
        <f t="shared" si="3"/>
        <v>5100</v>
      </c>
      <c r="H1196" s="6">
        <f t="shared" si="4"/>
        <v>18227</v>
      </c>
      <c r="I1196" s="6">
        <f t="shared" si="5"/>
        <v>19800</v>
      </c>
      <c r="J1196" s="6">
        <f t="shared" si="6"/>
        <v>94876</v>
      </c>
      <c r="K1196" s="9"/>
      <c r="L1196" s="9"/>
      <c r="M1196" s="9"/>
      <c r="N1196" s="9">
        <f t="shared" si="7"/>
        <v>16.4858384</v>
      </c>
      <c r="O1196" s="10">
        <f t="shared" si="8"/>
        <v>33.85294118</v>
      </c>
      <c r="P1196" s="9">
        <v>20.0</v>
      </c>
      <c r="Q1196" s="11" t="str">
        <f t="shared" si="9"/>
        <v>cobertura correcta</v>
      </c>
      <c r="R1196" s="12"/>
      <c r="S1196" s="8"/>
      <c r="T1196" s="12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ht="15.75" customHeight="1">
      <c r="A1197" s="5" t="s">
        <v>2281</v>
      </c>
      <c r="B1197" s="6"/>
      <c r="C1197" s="6">
        <f t="shared" si="1"/>
        <v>1291</v>
      </c>
      <c r="D1197" s="7">
        <v>0.0</v>
      </c>
      <c r="E1197" s="7">
        <v>0.0</v>
      </c>
      <c r="F1197" s="8"/>
      <c r="G1197" s="6">
        <f t="shared" si="3"/>
        <v>7381</v>
      </c>
      <c r="H1197" s="6">
        <f t="shared" si="4"/>
        <v>9472</v>
      </c>
      <c r="I1197" s="6">
        <f t="shared" si="5"/>
        <v>22584</v>
      </c>
      <c r="J1197" s="6">
        <f t="shared" si="6"/>
        <v>97327</v>
      </c>
      <c r="K1197" s="9"/>
      <c r="L1197" s="9"/>
      <c r="M1197" s="9"/>
      <c r="N1197" s="9">
        <f t="shared" si="7"/>
        <v>75.38884586</v>
      </c>
      <c r="O1197" s="10">
        <f t="shared" si="8"/>
        <v>5.247256469</v>
      </c>
      <c r="P1197" s="9">
        <v>7.0</v>
      </c>
      <c r="Q1197" s="11" t="str">
        <f t="shared" si="9"/>
        <v>¡Compra YA!</v>
      </c>
      <c r="R1197" s="12"/>
      <c r="S1197" s="8"/>
      <c r="T1197" s="12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ht="15.75" customHeight="1">
      <c r="A1198" s="5" t="s">
        <v>2282</v>
      </c>
      <c r="B1198" s="6"/>
      <c r="C1198" s="6">
        <f t="shared" si="1"/>
        <v>3591</v>
      </c>
      <c r="D1198" s="7">
        <v>0.0</v>
      </c>
      <c r="E1198" s="7">
        <v>0.0</v>
      </c>
      <c r="F1198" s="8"/>
      <c r="G1198" s="6">
        <f t="shared" si="3"/>
        <v>6026</v>
      </c>
      <c r="H1198" s="6">
        <f t="shared" si="4"/>
        <v>13822</v>
      </c>
      <c r="I1198" s="6">
        <f t="shared" si="5"/>
        <v>23288</v>
      </c>
      <c r="J1198" s="6">
        <f t="shared" si="6"/>
        <v>58619</v>
      </c>
      <c r="K1198" s="9"/>
      <c r="L1198" s="9"/>
      <c r="M1198" s="9"/>
      <c r="N1198" s="9">
        <f t="shared" si="7"/>
        <v>16.32386522</v>
      </c>
      <c r="O1198" s="10">
        <f t="shared" si="8"/>
        <v>17.8775307</v>
      </c>
      <c r="P1198" s="9">
        <v>7.0</v>
      </c>
      <c r="Q1198" s="11" t="str">
        <f t="shared" si="9"/>
        <v>cobertura correcta</v>
      </c>
      <c r="R1198" s="12"/>
      <c r="S1198" s="8"/>
      <c r="T1198" s="12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ht="15.75" customHeight="1">
      <c r="A1199" s="5" t="s">
        <v>2283</v>
      </c>
      <c r="B1199" s="6"/>
      <c r="C1199" s="6">
        <f t="shared" si="1"/>
        <v>7150</v>
      </c>
      <c r="D1199" s="7">
        <v>0.0</v>
      </c>
      <c r="E1199" s="7">
        <v>0.0</v>
      </c>
      <c r="F1199" s="8"/>
      <c r="G1199" s="6">
        <f t="shared" si="3"/>
        <v>4071</v>
      </c>
      <c r="H1199" s="6">
        <f t="shared" si="4"/>
        <v>14446</v>
      </c>
      <c r="I1199" s="6">
        <f t="shared" si="5"/>
        <v>27140</v>
      </c>
      <c r="J1199" s="6">
        <f t="shared" si="6"/>
        <v>53495</v>
      </c>
      <c r="K1199" s="9"/>
      <c r="L1199" s="9"/>
      <c r="M1199" s="9"/>
      <c r="N1199" s="9">
        <f t="shared" si="7"/>
        <v>7.481818182</v>
      </c>
      <c r="O1199" s="10">
        <f t="shared" si="8"/>
        <v>52.68975682</v>
      </c>
      <c r="P1199" s="9">
        <v>7.0</v>
      </c>
      <c r="Q1199" s="11" t="str">
        <f t="shared" si="9"/>
        <v>cobertura correcta</v>
      </c>
      <c r="R1199" s="12"/>
      <c r="S1199" s="8"/>
      <c r="T1199" s="12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ht="15.75" customHeight="1">
      <c r="A1200" s="5" t="s">
        <v>2284</v>
      </c>
      <c r="B1200" s="6" t="s">
        <v>2285</v>
      </c>
      <c r="C1200" s="6">
        <f t="shared" si="1"/>
        <v>5597</v>
      </c>
      <c r="D1200" s="7">
        <v>0.0</v>
      </c>
      <c r="E1200" s="7">
        <v>0.0</v>
      </c>
      <c r="F1200" s="8"/>
      <c r="G1200" s="6">
        <f t="shared" si="3"/>
        <v>2225</v>
      </c>
      <c r="H1200" s="6">
        <f t="shared" si="4"/>
        <v>16020</v>
      </c>
      <c r="I1200" s="6">
        <f t="shared" si="5"/>
        <v>22209</v>
      </c>
      <c r="J1200" s="6">
        <f t="shared" si="6"/>
        <v>57841</v>
      </c>
      <c r="K1200" s="9"/>
      <c r="L1200" s="9"/>
      <c r="M1200" s="9"/>
      <c r="N1200" s="9">
        <f t="shared" si="7"/>
        <v>10.33428622</v>
      </c>
      <c r="O1200" s="10">
        <f t="shared" si="8"/>
        <v>75.46516854</v>
      </c>
      <c r="P1200" s="9">
        <v>7.0</v>
      </c>
      <c r="Q1200" s="11" t="str">
        <f t="shared" si="9"/>
        <v>cobertura correcta</v>
      </c>
      <c r="R1200" s="12"/>
      <c r="S1200" s="8"/>
      <c r="T1200" s="12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</row>
    <row r="1201" ht="15.75" customHeight="1">
      <c r="A1201" s="5" t="s">
        <v>2286</v>
      </c>
      <c r="B1201" s="6" t="s">
        <v>2287</v>
      </c>
      <c r="C1201" s="6">
        <f t="shared" si="1"/>
        <v>7620</v>
      </c>
      <c r="D1201" s="7">
        <v>0.0</v>
      </c>
      <c r="E1201" s="7">
        <v>0.0</v>
      </c>
      <c r="F1201" s="8"/>
      <c r="G1201" s="6">
        <f t="shared" si="3"/>
        <v>7517</v>
      </c>
      <c r="H1201" s="6">
        <f t="shared" si="4"/>
        <v>13109</v>
      </c>
      <c r="I1201" s="6">
        <f t="shared" si="5"/>
        <v>23237</v>
      </c>
      <c r="J1201" s="6">
        <f t="shared" si="6"/>
        <v>40290</v>
      </c>
      <c r="K1201" s="9"/>
      <c r="L1201" s="9"/>
      <c r="M1201" s="9"/>
      <c r="N1201" s="9">
        <f t="shared" si="7"/>
        <v>5.287401575</v>
      </c>
      <c r="O1201" s="10">
        <f t="shared" si="8"/>
        <v>30.41106825</v>
      </c>
      <c r="P1201" s="9">
        <v>7.0</v>
      </c>
      <c r="Q1201" s="11" t="str">
        <f t="shared" si="9"/>
        <v>cobertura correcta</v>
      </c>
      <c r="R1201" s="12"/>
      <c r="S1201" s="8"/>
      <c r="T1201" s="12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</row>
    <row r="1202" ht="15.75" customHeight="1">
      <c r="A1202" s="5" t="s">
        <v>2288</v>
      </c>
      <c r="B1202" s="6" t="s">
        <v>2289</v>
      </c>
      <c r="C1202" s="6">
        <f t="shared" si="1"/>
        <v>5161</v>
      </c>
      <c r="D1202" s="7">
        <v>0.0</v>
      </c>
      <c r="E1202" s="7">
        <v>0.0</v>
      </c>
      <c r="F1202" s="8"/>
      <c r="G1202" s="6">
        <f t="shared" si="3"/>
        <v>2507</v>
      </c>
      <c r="H1202" s="6">
        <f t="shared" si="4"/>
        <v>14775</v>
      </c>
      <c r="I1202" s="6">
        <f t="shared" si="5"/>
        <v>19157</v>
      </c>
      <c r="J1202" s="6">
        <f t="shared" si="6"/>
        <v>32914</v>
      </c>
      <c r="K1202" s="9"/>
      <c r="L1202" s="9"/>
      <c r="M1202" s="9"/>
      <c r="N1202" s="9">
        <f t="shared" si="7"/>
        <v>6.377446231</v>
      </c>
      <c r="O1202" s="10">
        <f t="shared" si="8"/>
        <v>61.75907459</v>
      </c>
      <c r="P1202" s="9">
        <v>7.0</v>
      </c>
      <c r="Q1202" s="11" t="str">
        <f t="shared" si="9"/>
        <v>cobertura correcta</v>
      </c>
      <c r="R1202" s="12"/>
      <c r="S1202" s="8"/>
      <c r="T1202" s="12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ht="15.75" customHeight="1">
      <c r="A1203" s="5" t="s">
        <v>2290</v>
      </c>
      <c r="B1203" s="6" t="s">
        <v>2291</v>
      </c>
      <c r="C1203" s="6">
        <f t="shared" si="1"/>
        <v>4250</v>
      </c>
      <c r="D1203" s="7">
        <v>0.0</v>
      </c>
      <c r="E1203" s="7">
        <v>0.0</v>
      </c>
      <c r="F1203" s="8"/>
      <c r="G1203" s="6">
        <f t="shared" si="3"/>
        <v>6434</v>
      </c>
      <c r="H1203" s="6">
        <f t="shared" si="4"/>
        <v>14424</v>
      </c>
      <c r="I1203" s="6">
        <f t="shared" si="5"/>
        <v>19284</v>
      </c>
      <c r="J1203" s="6">
        <f t="shared" si="6"/>
        <v>81692</v>
      </c>
      <c r="K1203" s="9"/>
      <c r="L1203" s="9"/>
      <c r="M1203" s="9"/>
      <c r="N1203" s="9">
        <f t="shared" si="7"/>
        <v>19.22164706</v>
      </c>
      <c r="O1203" s="10">
        <f t="shared" si="8"/>
        <v>19.81659932</v>
      </c>
      <c r="P1203" s="9">
        <v>30.0</v>
      </c>
      <c r="Q1203" s="11" t="str">
        <f t="shared" si="9"/>
        <v>¡Compra YA!</v>
      </c>
      <c r="R1203" s="12"/>
      <c r="S1203" s="8"/>
      <c r="T1203" s="12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</row>
    <row r="1204" ht="15.75" customHeight="1">
      <c r="A1204" s="5" t="s">
        <v>2292</v>
      </c>
      <c r="B1204" s="6" t="s">
        <v>2293</v>
      </c>
      <c r="C1204" s="6">
        <f t="shared" si="1"/>
        <v>6103</v>
      </c>
      <c r="D1204" s="7">
        <v>0.0</v>
      </c>
      <c r="E1204" s="7">
        <v>0.0</v>
      </c>
      <c r="F1204" s="8"/>
      <c r="G1204" s="6">
        <f t="shared" si="3"/>
        <v>3345</v>
      </c>
      <c r="H1204" s="6">
        <f t="shared" si="4"/>
        <v>16175</v>
      </c>
      <c r="I1204" s="6">
        <f t="shared" si="5"/>
        <v>23257</v>
      </c>
      <c r="J1204" s="6">
        <f t="shared" si="6"/>
        <v>58326</v>
      </c>
      <c r="K1204" s="9"/>
      <c r="L1204" s="9"/>
      <c r="M1204" s="9"/>
      <c r="N1204" s="9">
        <f t="shared" si="7"/>
        <v>9.55693921</v>
      </c>
      <c r="O1204" s="10">
        <f t="shared" si="8"/>
        <v>54.73542601</v>
      </c>
      <c r="P1204" s="9">
        <v>7.0</v>
      </c>
      <c r="Q1204" s="11" t="str">
        <f t="shared" si="9"/>
        <v>cobertura correcta</v>
      </c>
      <c r="R1204" s="12"/>
      <c r="S1204" s="8"/>
      <c r="T1204" s="12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</row>
    <row r="1205" ht="15.75" customHeight="1">
      <c r="A1205" s="5" t="s">
        <v>2294</v>
      </c>
      <c r="B1205" s="6" t="s">
        <v>2295</v>
      </c>
      <c r="C1205" s="6">
        <f t="shared" si="1"/>
        <v>2256</v>
      </c>
      <c r="D1205" s="7">
        <v>0.0</v>
      </c>
      <c r="E1205" s="7">
        <v>0.0</v>
      </c>
      <c r="F1205" s="8"/>
      <c r="G1205" s="6">
        <f t="shared" si="3"/>
        <v>7539</v>
      </c>
      <c r="H1205" s="6">
        <f t="shared" si="4"/>
        <v>15707</v>
      </c>
      <c r="I1205" s="6">
        <f t="shared" si="5"/>
        <v>28172</v>
      </c>
      <c r="J1205" s="6">
        <f t="shared" si="6"/>
        <v>80283</v>
      </c>
      <c r="K1205" s="9"/>
      <c r="L1205" s="9"/>
      <c r="M1205" s="9"/>
      <c r="N1205" s="9">
        <f t="shared" si="7"/>
        <v>35.58643617</v>
      </c>
      <c r="O1205" s="10">
        <f t="shared" si="8"/>
        <v>8.977317947</v>
      </c>
      <c r="P1205" s="9">
        <v>7.0</v>
      </c>
      <c r="Q1205" s="11" t="str">
        <f t="shared" si="9"/>
        <v>cobertura correcta</v>
      </c>
      <c r="R1205" s="12"/>
      <c r="S1205" s="8"/>
      <c r="T1205" s="12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ht="15.75" customHeight="1">
      <c r="A1206" s="5" t="s">
        <v>2296</v>
      </c>
      <c r="B1206" s="6" t="s">
        <v>2297</v>
      </c>
      <c r="C1206" s="6">
        <f t="shared" si="1"/>
        <v>3107</v>
      </c>
      <c r="D1206" s="7">
        <v>0.0</v>
      </c>
      <c r="E1206" s="7">
        <v>0.0</v>
      </c>
      <c r="F1206" s="8"/>
      <c r="G1206" s="6">
        <f t="shared" si="3"/>
        <v>2944</v>
      </c>
      <c r="H1206" s="6">
        <f t="shared" si="4"/>
        <v>11322</v>
      </c>
      <c r="I1206" s="6">
        <f t="shared" si="5"/>
        <v>28538</v>
      </c>
      <c r="J1206" s="6">
        <f t="shared" si="6"/>
        <v>29219</v>
      </c>
      <c r="K1206" s="9"/>
      <c r="L1206" s="9"/>
      <c r="M1206" s="9"/>
      <c r="N1206" s="9">
        <f t="shared" si="7"/>
        <v>9.404248471</v>
      </c>
      <c r="O1206" s="10">
        <f t="shared" si="8"/>
        <v>31.66100543</v>
      </c>
      <c r="P1206" s="9">
        <v>15.0</v>
      </c>
      <c r="Q1206" s="11" t="str">
        <f t="shared" si="9"/>
        <v>cobertura correcta</v>
      </c>
      <c r="R1206" s="12"/>
      <c r="S1206" s="8"/>
      <c r="T1206" s="12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</row>
    <row r="1207" ht="15.75" customHeight="1">
      <c r="A1207" s="5" t="s">
        <v>2298</v>
      </c>
      <c r="B1207" s="6" t="s">
        <v>2299</v>
      </c>
      <c r="C1207" s="6">
        <f t="shared" si="1"/>
        <v>8616</v>
      </c>
      <c r="D1207" s="7">
        <v>0.0</v>
      </c>
      <c r="E1207" s="7">
        <v>0.0</v>
      </c>
      <c r="F1207" s="8"/>
      <c r="G1207" s="6">
        <f t="shared" si="3"/>
        <v>4623</v>
      </c>
      <c r="H1207" s="6">
        <f t="shared" si="4"/>
        <v>14214</v>
      </c>
      <c r="I1207" s="6">
        <f t="shared" si="5"/>
        <v>27200</v>
      </c>
      <c r="J1207" s="6">
        <f t="shared" si="6"/>
        <v>96014</v>
      </c>
      <c r="K1207" s="9"/>
      <c r="L1207" s="9"/>
      <c r="M1207" s="9"/>
      <c r="N1207" s="9">
        <f t="shared" si="7"/>
        <v>11.14368617</v>
      </c>
      <c r="O1207" s="10">
        <f t="shared" si="8"/>
        <v>55.91174562</v>
      </c>
      <c r="P1207" s="9">
        <v>7.0</v>
      </c>
      <c r="Q1207" s="11" t="str">
        <f t="shared" si="9"/>
        <v>cobertura correcta</v>
      </c>
      <c r="R1207" s="12"/>
      <c r="S1207" s="8"/>
      <c r="T1207" s="12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</row>
    <row r="1208" ht="15.75" customHeight="1">
      <c r="A1208" s="5" t="s">
        <v>2300</v>
      </c>
      <c r="B1208" s="6" t="s">
        <v>2301</v>
      </c>
      <c r="C1208" s="6">
        <f t="shared" si="1"/>
        <v>3955</v>
      </c>
      <c r="D1208" s="7">
        <v>0.0</v>
      </c>
      <c r="E1208" s="7">
        <v>0.0</v>
      </c>
      <c r="F1208" s="8"/>
      <c r="G1208" s="6">
        <f t="shared" si="3"/>
        <v>5147</v>
      </c>
      <c r="H1208" s="6">
        <f t="shared" si="4"/>
        <v>16857</v>
      </c>
      <c r="I1208" s="6">
        <f t="shared" si="5"/>
        <v>21248</v>
      </c>
      <c r="J1208" s="6">
        <f t="shared" si="6"/>
        <v>62306</v>
      </c>
      <c r="K1208" s="9"/>
      <c r="L1208" s="9"/>
      <c r="M1208" s="9"/>
      <c r="N1208" s="9">
        <f t="shared" si="7"/>
        <v>15.75372946</v>
      </c>
      <c r="O1208" s="10">
        <f t="shared" si="8"/>
        <v>23.05226345</v>
      </c>
      <c r="P1208" s="9">
        <v>7.0</v>
      </c>
      <c r="Q1208" s="11" t="str">
        <f t="shared" si="9"/>
        <v>cobertura correcta</v>
      </c>
      <c r="R1208" s="12"/>
      <c r="S1208" s="8"/>
      <c r="T1208" s="12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</row>
    <row r="1209" ht="15.75" customHeight="1">
      <c r="A1209" s="5" t="s">
        <v>2302</v>
      </c>
      <c r="B1209" s="6" t="s">
        <v>2303</v>
      </c>
      <c r="C1209" s="6">
        <f t="shared" si="1"/>
        <v>6970</v>
      </c>
      <c r="D1209" s="7">
        <v>0.0</v>
      </c>
      <c r="E1209" s="7">
        <v>0.0</v>
      </c>
      <c r="F1209" s="8"/>
      <c r="G1209" s="6">
        <f t="shared" si="3"/>
        <v>7325</v>
      </c>
      <c r="H1209" s="6">
        <f t="shared" si="4"/>
        <v>11954</v>
      </c>
      <c r="I1209" s="6">
        <f t="shared" si="5"/>
        <v>24934</v>
      </c>
      <c r="J1209" s="6">
        <f t="shared" si="6"/>
        <v>91973</v>
      </c>
      <c r="K1209" s="9"/>
      <c r="L1209" s="9"/>
      <c r="M1209" s="9"/>
      <c r="N1209" s="9">
        <f t="shared" si="7"/>
        <v>13.19555237</v>
      </c>
      <c r="O1209" s="10">
        <f t="shared" si="8"/>
        <v>28.54607509</v>
      </c>
      <c r="P1209" s="9">
        <v>7.0</v>
      </c>
      <c r="Q1209" s="11" t="str">
        <f t="shared" si="9"/>
        <v>cobertura correcta</v>
      </c>
      <c r="R1209" s="12"/>
      <c r="S1209" s="8"/>
      <c r="T1209" s="12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ht="15.75" customHeight="1">
      <c r="A1210" s="5" t="s">
        <v>2304</v>
      </c>
      <c r="B1210" s="6" t="s">
        <v>2305</v>
      </c>
      <c r="C1210" s="6">
        <f t="shared" si="1"/>
        <v>6263</v>
      </c>
      <c r="D1210" s="7">
        <v>0.0</v>
      </c>
      <c r="E1210" s="7">
        <v>0.0</v>
      </c>
      <c r="F1210" s="8"/>
      <c r="G1210" s="6">
        <f t="shared" si="3"/>
        <v>4802</v>
      </c>
      <c r="H1210" s="6">
        <f t="shared" si="4"/>
        <v>17868</v>
      </c>
      <c r="I1210" s="6">
        <f t="shared" si="5"/>
        <v>26221</v>
      </c>
      <c r="J1210" s="6">
        <f t="shared" si="6"/>
        <v>36309</v>
      </c>
      <c r="K1210" s="9"/>
      <c r="L1210" s="9"/>
      <c r="M1210" s="9"/>
      <c r="N1210" s="9">
        <f t="shared" si="7"/>
        <v>5.797381447</v>
      </c>
      <c r="O1210" s="10">
        <f t="shared" si="8"/>
        <v>39.1274469</v>
      </c>
      <c r="P1210" s="9">
        <v>7.0</v>
      </c>
      <c r="Q1210" s="11" t="str">
        <f t="shared" si="9"/>
        <v>cobertura correcta</v>
      </c>
      <c r="R1210" s="12"/>
      <c r="S1210" s="8"/>
      <c r="T1210" s="12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</row>
    <row r="1211" ht="15.75" customHeight="1">
      <c r="A1211" s="5" t="s">
        <v>2306</v>
      </c>
      <c r="B1211" s="6" t="s">
        <v>2307</v>
      </c>
      <c r="C1211" s="6">
        <f t="shared" si="1"/>
        <v>7253</v>
      </c>
      <c r="D1211" s="7">
        <v>0.0</v>
      </c>
      <c r="E1211" s="7">
        <v>0.0</v>
      </c>
      <c r="F1211" s="8"/>
      <c r="G1211" s="6">
        <f t="shared" si="3"/>
        <v>3996</v>
      </c>
      <c r="H1211" s="6">
        <f t="shared" si="4"/>
        <v>9971</v>
      </c>
      <c r="I1211" s="6">
        <f t="shared" si="5"/>
        <v>28474</v>
      </c>
      <c r="J1211" s="6">
        <f t="shared" si="6"/>
        <v>86437</v>
      </c>
      <c r="K1211" s="9"/>
      <c r="L1211" s="9"/>
      <c r="M1211" s="9"/>
      <c r="N1211" s="9">
        <f t="shared" si="7"/>
        <v>11.91741348</v>
      </c>
      <c r="O1211" s="10">
        <f t="shared" si="8"/>
        <v>54.45195195</v>
      </c>
      <c r="P1211" s="9">
        <v>7.0</v>
      </c>
      <c r="Q1211" s="11" t="str">
        <f t="shared" si="9"/>
        <v>cobertura correcta</v>
      </c>
      <c r="R1211" s="12"/>
      <c r="S1211" s="8"/>
      <c r="T1211" s="12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</row>
    <row r="1212" ht="15.75" customHeight="1">
      <c r="A1212" s="5" t="s">
        <v>2308</v>
      </c>
      <c r="B1212" s="6" t="s">
        <v>2309</v>
      </c>
      <c r="C1212" s="6">
        <f t="shared" si="1"/>
        <v>5181</v>
      </c>
      <c r="D1212" s="7">
        <v>0.0</v>
      </c>
      <c r="E1212" s="7">
        <v>0.0</v>
      </c>
      <c r="F1212" s="8"/>
      <c r="G1212" s="6">
        <f t="shared" si="3"/>
        <v>5206</v>
      </c>
      <c r="H1212" s="6">
        <f t="shared" si="4"/>
        <v>9212</v>
      </c>
      <c r="I1212" s="6">
        <f t="shared" si="5"/>
        <v>23340</v>
      </c>
      <c r="J1212" s="6">
        <f t="shared" si="6"/>
        <v>60264</v>
      </c>
      <c r="K1212" s="9"/>
      <c r="L1212" s="9"/>
      <c r="M1212" s="9"/>
      <c r="N1212" s="9">
        <f t="shared" si="7"/>
        <v>11.63173133</v>
      </c>
      <c r="O1212" s="10">
        <f t="shared" si="8"/>
        <v>29.85593546</v>
      </c>
      <c r="P1212" s="9">
        <v>7.0</v>
      </c>
      <c r="Q1212" s="11" t="str">
        <f t="shared" si="9"/>
        <v>cobertura correcta</v>
      </c>
      <c r="R1212" s="12"/>
      <c r="S1212" s="8"/>
      <c r="T1212" s="12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ht="15.75" customHeight="1">
      <c r="A1213" s="5" t="s">
        <v>2310</v>
      </c>
      <c r="B1213" s="6" t="s">
        <v>2311</v>
      </c>
      <c r="C1213" s="6">
        <f t="shared" si="1"/>
        <v>8667</v>
      </c>
      <c r="D1213" s="7">
        <v>0.0</v>
      </c>
      <c r="E1213" s="7">
        <v>0.0</v>
      </c>
      <c r="F1213" s="8"/>
      <c r="G1213" s="6">
        <f t="shared" si="3"/>
        <v>3708</v>
      </c>
      <c r="H1213" s="6">
        <f t="shared" si="4"/>
        <v>11182</v>
      </c>
      <c r="I1213" s="6">
        <f t="shared" si="5"/>
        <v>21293</v>
      </c>
      <c r="J1213" s="6">
        <f t="shared" si="6"/>
        <v>46965</v>
      </c>
      <c r="K1213" s="9"/>
      <c r="L1213" s="9"/>
      <c r="M1213" s="9"/>
      <c r="N1213" s="9">
        <f t="shared" si="7"/>
        <v>5.418830045</v>
      </c>
      <c r="O1213" s="10">
        <f t="shared" si="8"/>
        <v>70.12135922</v>
      </c>
      <c r="P1213" s="9">
        <v>15.0</v>
      </c>
      <c r="Q1213" s="11" t="str">
        <f t="shared" si="9"/>
        <v>cobertura correcta</v>
      </c>
      <c r="R1213" s="12"/>
      <c r="S1213" s="8"/>
      <c r="T1213" s="12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ht="15.75" customHeight="1">
      <c r="A1214" s="5" t="s">
        <v>2312</v>
      </c>
      <c r="B1214" s="6" t="s">
        <v>2313</v>
      </c>
      <c r="C1214" s="6">
        <f t="shared" si="1"/>
        <v>2049</v>
      </c>
      <c r="D1214" s="7">
        <v>0.0</v>
      </c>
      <c r="E1214" s="7">
        <v>0.0</v>
      </c>
      <c r="F1214" s="8"/>
      <c r="G1214" s="6">
        <f t="shared" si="3"/>
        <v>2664</v>
      </c>
      <c r="H1214" s="6">
        <f t="shared" si="4"/>
        <v>11537</v>
      </c>
      <c r="I1214" s="6">
        <f t="shared" si="5"/>
        <v>23079</v>
      </c>
      <c r="J1214" s="6">
        <f t="shared" si="6"/>
        <v>66911</v>
      </c>
      <c r="K1214" s="9"/>
      <c r="L1214" s="9"/>
      <c r="M1214" s="9"/>
      <c r="N1214" s="9">
        <f t="shared" si="7"/>
        <v>32.65544168</v>
      </c>
      <c r="O1214" s="10">
        <f t="shared" si="8"/>
        <v>23.07432432</v>
      </c>
      <c r="P1214" s="9">
        <v>15.0</v>
      </c>
      <c r="Q1214" s="11" t="str">
        <f t="shared" si="9"/>
        <v>cobertura correcta</v>
      </c>
      <c r="R1214" s="12"/>
      <c r="S1214" s="8"/>
      <c r="T1214" s="12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ht="15.75" customHeight="1">
      <c r="A1215" s="5" t="s">
        <v>2314</v>
      </c>
      <c r="B1215" s="6" t="s">
        <v>2315</v>
      </c>
      <c r="C1215" s="6">
        <f t="shared" si="1"/>
        <v>4348</v>
      </c>
      <c r="D1215" s="7">
        <v>0.0</v>
      </c>
      <c r="E1215" s="7">
        <v>0.0</v>
      </c>
      <c r="F1215" s="8"/>
      <c r="G1215" s="6">
        <f t="shared" si="3"/>
        <v>6500</v>
      </c>
      <c r="H1215" s="6">
        <f t="shared" si="4"/>
        <v>10929</v>
      </c>
      <c r="I1215" s="6">
        <f t="shared" si="5"/>
        <v>27666</v>
      </c>
      <c r="J1215" s="6">
        <f t="shared" si="6"/>
        <v>52652</v>
      </c>
      <c r="K1215" s="9"/>
      <c r="L1215" s="9"/>
      <c r="M1215" s="9"/>
      <c r="N1215" s="9">
        <f t="shared" si="7"/>
        <v>12.10947562</v>
      </c>
      <c r="O1215" s="10">
        <f t="shared" si="8"/>
        <v>20.06769231</v>
      </c>
      <c r="P1215" s="9">
        <v>15.0</v>
      </c>
      <c r="Q1215" s="11" t="str">
        <f t="shared" si="9"/>
        <v>cobertura correcta</v>
      </c>
      <c r="R1215" s="12"/>
      <c r="S1215" s="8"/>
      <c r="T1215" s="12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ht="15.75" customHeight="1">
      <c r="A1216" s="5" t="s">
        <v>2316</v>
      </c>
      <c r="B1216" s="6" t="s">
        <v>2317</v>
      </c>
      <c r="C1216" s="6">
        <f t="shared" si="1"/>
        <v>5170</v>
      </c>
      <c r="D1216" s="7">
        <v>0.0</v>
      </c>
      <c r="E1216" s="7">
        <v>0.0</v>
      </c>
      <c r="F1216" s="8"/>
      <c r="G1216" s="6">
        <f t="shared" si="3"/>
        <v>6156</v>
      </c>
      <c r="H1216" s="6">
        <f t="shared" si="4"/>
        <v>18600</v>
      </c>
      <c r="I1216" s="6">
        <f t="shared" si="5"/>
        <v>23941</v>
      </c>
      <c r="J1216" s="6">
        <f t="shared" si="6"/>
        <v>87151</v>
      </c>
      <c r="K1216" s="9"/>
      <c r="L1216" s="9"/>
      <c r="M1216" s="9"/>
      <c r="N1216" s="9">
        <f t="shared" si="7"/>
        <v>16.85705996</v>
      </c>
      <c r="O1216" s="10">
        <f t="shared" si="8"/>
        <v>25.19493177</v>
      </c>
      <c r="P1216" s="9">
        <v>15.0</v>
      </c>
      <c r="Q1216" s="11" t="str">
        <f t="shared" si="9"/>
        <v>cobertura correcta</v>
      </c>
      <c r="R1216" s="12"/>
      <c r="S1216" s="8"/>
      <c r="T1216" s="12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ht="15.75" customHeight="1">
      <c r="A1217" s="5" t="s">
        <v>2318</v>
      </c>
      <c r="B1217" s="6" t="s">
        <v>2319</v>
      </c>
      <c r="C1217" s="6">
        <f t="shared" si="1"/>
        <v>1544</v>
      </c>
      <c r="D1217" s="7">
        <v>0.0</v>
      </c>
      <c r="E1217" s="7">
        <v>0.0</v>
      </c>
      <c r="F1217" s="8"/>
      <c r="G1217" s="6">
        <f t="shared" si="3"/>
        <v>6093</v>
      </c>
      <c r="H1217" s="6">
        <f t="shared" si="4"/>
        <v>10418</v>
      </c>
      <c r="I1217" s="6">
        <f t="shared" si="5"/>
        <v>28227</v>
      </c>
      <c r="J1217" s="6">
        <f t="shared" si="6"/>
        <v>29453</v>
      </c>
      <c r="K1217" s="9"/>
      <c r="L1217" s="9"/>
      <c r="M1217" s="9"/>
      <c r="N1217" s="9">
        <f t="shared" si="7"/>
        <v>19.0757772</v>
      </c>
      <c r="O1217" s="10">
        <f t="shared" si="8"/>
        <v>7.60216642</v>
      </c>
      <c r="P1217" s="9">
        <v>30.0</v>
      </c>
      <c r="Q1217" s="11" t="str">
        <f t="shared" si="9"/>
        <v>¡Compra YA!</v>
      </c>
      <c r="R1217" s="12"/>
      <c r="S1217" s="8"/>
      <c r="T1217" s="12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ht="15.75" customHeight="1">
      <c r="A1218" s="5" t="s">
        <v>2320</v>
      </c>
      <c r="B1218" s="6" t="s">
        <v>2321</v>
      </c>
      <c r="C1218" s="6">
        <f t="shared" si="1"/>
        <v>8846</v>
      </c>
      <c r="D1218" s="7">
        <v>0.0</v>
      </c>
      <c r="E1218" s="7">
        <v>0.0</v>
      </c>
      <c r="F1218" s="8"/>
      <c r="G1218" s="6">
        <f t="shared" si="3"/>
        <v>4279</v>
      </c>
      <c r="H1218" s="6">
        <f t="shared" si="4"/>
        <v>13281</v>
      </c>
      <c r="I1218" s="6">
        <f t="shared" si="5"/>
        <v>25556</v>
      </c>
      <c r="J1218" s="6">
        <f t="shared" si="6"/>
        <v>82234</v>
      </c>
      <c r="K1218" s="9"/>
      <c r="L1218" s="9"/>
      <c r="M1218" s="9"/>
      <c r="N1218" s="9">
        <f t="shared" si="7"/>
        <v>9.296179064</v>
      </c>
      <c r="O1218" s="10">
        <f t="shared" si="8"/>
        <v>62.01916336</v>
      </c>
      <c r="P1218" s="9">
        <v>15.0</v>
      </c>
      <c r="Q1218" s="11" t="str">
        <f t="shared" si="9"/>
        <v>cobertura correcta</v>
      </c>
      <c r="R1218" s="12"/>
      <c r="S1218" s="8"/>
      <c r="T1218" s="12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ht="15.75" customHeight="1">
      <c r="A1219" s="5" t="s">
        <v>2322</v>
      </c>
      <c r="B1219" s="6" t="s">
        <v>2323</v>
      </c>
      <c r="C1219" s="6">
        <f t="shared" si="1"/>
        <v>8702</v>
      </c>
      <c r="D1219" s="7">
        <v>0.0</v>
      </c>
      <c r="E1219" s="7">
        <v>0.0</v>
      </c>
      <c r="F1219" s="8"/>
      <c r="G1219" s="6">
        <f t="shared" si="3"/>
        <v>5734</v>
      </c>
      <c r="H1219" s="6">
        <f t="shared" si="4"/>
        <v>15950</v>
      </c>
      <c r="I1219" s="6">
        <f t="shared" si="5"/>
        <v>19157</v>
      </c>
      <c r="J1219" s="6">
        <f t="shared" si="6"/>
        <v>92156</v>
      </c>
      <c r="K1219" s="9"/>
      <c r="L1219" s="9"/>
      <c r="M1219" s="9"/>
      <c r="N1219" s="9">
        <f t="shared" si="7"/>
        <v>10.59020915</v>
      </c>
      <c r="O1219" s="10">
        <f t="shared" si="8"/>
        <v>45.52842693</v>
      </c>
      <c r="P1219" s="9">
        <v>15.0</v>
      </c>
      <c r="Q1219" s="11" t="str">
        <f t="shared" si="9"/>
        <v>cobertura correcta</v>
      </c>
      <c r="R1219" s="12"/>
      <c r="S1219" s="8"/>
      <c r="T1219" s="12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ht="15.75" customHeight="1">
      <c r="A1220" s="5" t="s">
        <v>2324</v>
      </c>
      <c r="B1220" s="6" t="s">
        <v>2325</v>
      </c>
      <c r="C1220" s="6">
        <f t="shared" si="1"/>
        <v>2555</v>
      </c>
      <c r="D1220" s="7">
        <v>0.0</v>
      </c>
      <c r="E1220" s="7">
        <v>0.0</v>
      </c>
      <c r="F1220" s="8"/>
      <c r="G1220" s="6">
        <f t="shared" si="3"/>
        <v>3446</v>
      </c>
      <c r="H1220" s="6">
        <f t="shared" si="4"/>
        <v>10156</v>
      </c>
      <c r="I1220" s="6">
        <f t="shared" si="5"/>
        <v>24727</v>
      </c>
      <c r="J1220" s="6">
        <f t="shared" si="6"/>
        <v>30393</v>
      </c>
      <c r="K1220" s="9"/>
      <c r="L1220" s="9"/>
      <c r="M1220" s="9"/>
      <c r="N1220" s="9">
        <f t="shared" si="7"/>
        <v>11.89549902</v>
      </c>
      <c r="O1220" s="10">
        <f t="shared" si="8"/>
        <v>22.2431805</v>
      </c>
      <c r="P1220" s="9">
        <v>15.0</v>
      </c>
      <c r="Q1220" s="11" t="str">
        <f t="shared" si="9"/>
        <v>cobertura correcta</v>
      </c>
      <c r="R1220" s="12"/>
      <c r="S1220" s="8"/>
      <c r="T1220" s="12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ht="15.75" customHeight="1">
      <c r="A1221" s="5" t="s">
        <v>2326</v>
      </c>
      <c r="B1221" s="6" t="s">
        <v>2327</v>
      </c>
      <c r="C1221" s="6">
        <f t="shared" si="1"/>
        <v>6498</v>
      </c>
      <c r="D1221" s="7">
        <v>0.0</v>
      </c>
      <c r="E1221" s="7">
        <v>0.0</v>
      </c>
      <c r="F1221" s="8"/>
      <c r="G1221" s="6">
        <f t="shared" si="3"/>
        <v>6555</v>
      </c>
      <c r="H1221" s="6">
        <f t="shared" si="4"/>
        <v>11561</v>
      </c>
      <c r="I1221" s="6">
        <f t="shared" si="5"/>
        <v>27420</v>
      </c>
      <c r="J1221" s="6">
        <f t="shared" si="6"/>
        <v>50625</v>
      </c>
      <c r="K1221" s="9"/>
      <c r="L1221" s="9"/>
      <c r="M1221" s="9"/>
      <c r="N1221" s="9">
        <f t="shared" si="7"/>
        <v>7.790858726</v>
      </c>
      <c r="O1221" s="10">
        <f t="shared" si="8"/>
        <v>29.73913043</v>
      </c>
      <c r="P1221" s="9">
        <v>15.0</v>
      </c>
      <c r="Q1221" s="11" t="str">
        <f t="shared" si="9"/>
        <v>cobertura correcta</v>
      </c>
      <c r="R1221" s="12"/>
      <c r="S1221" s="8"/>
      <c r="T1221" s="12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ht="15.75" customHeight="1">
      <c r="A1222" s="5" t="s">
        <v>2328</v>
      </c>
      <c r="B1222" s="6" t="s">
        <v>2329</v>
      </c>
      <c r="C1222" s="6">
        <f t="shared" si="1"/>
        <v>4223</v>
      </c>
      <c r="D1222" s="7">
        <v>0.0</v>
      </c>
      <c r="E1222" s="7">
        <v>0.0</v>
      </c>
      <c r="F1222" s="8"/>
      <c r="G1222" s="6">
        <f t="shared" si="3"/>
        <v>4670</v>
      </c>
      <c r="H1222" s="6">
        <f t="shared" si="4"/>
        <v>12161</v>
      </c>
      <c r="I1222" s="6">
        <f t="shared" si="5"/>
        <v>20560</v>
      </c>
      <c r="J1222" s="6">
        <f t="shared" si="6"/>
        <v>64717</v>
      </c>
      <c r="K1222" s="9"/>
      <c r="L1222" s="9"/>
      <c r="M1222" s="9"/>
      <c r="N1222" s="9">
        <f t="shared" si="7"/>
        <v>15.32488752</v>
      </c>
      <c r="O1222" s="10">
        <f t="shared" si="8"/>
        <v>27.12847966</v>
      </c>
      <c r="P1222" s="9">
        <v>7.0</v>
      </c>
      <c r="Q1222" s="11" t="str">
        <f t="shared" si="9"/>
        <v>cobertura correcta</v>
      </c>
      <c r="R1222" s="12"/>
      <c r="S1222" s="8"/>
      <c r="T1222" s="12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ht="15.75" customHeight="1">
      <c r="A1223" s="5" t="s">
        <v>2330</v>
      </c>
      <c r="B1223" s="6" t="s">
        <v>2331</v>
      </c>
      <c r="C1223" s="6">
        <f t="shared" si="1"/>
        <v>3199</v>
      </c>
      <c r="D1223" s="7">
        <v>0.0</v>
      </c>
      <c r="E1223" s="7">
        <v>0.0</v>
      </c>
      <c r="F1223" s="8"/>
      <c r="G1223" s="6">
        <f t="shared" si="3"/>
        <v>6359</v>
      </c>
      <c r="H1223" s="6">
        <f t="shared" si="4"/>
        <v>11744</v>
      </c>
      <c r="I1223" s="6">
        <f t="shared" si="5"/>
        <v>27168</v>
      </c>
      <c r="J1223" s="6">
        <f t="shared" si="6"/>
        <v>54692</v>
      </c>
      <c r="K1223" s="9"/>
      <c r="L1223" s="9"/>
      <c r="M1223" s="9"/>
      <c r="N1223" s="9">
        <f t="shared" si="7"/>
        <v>17.09659269</v>
      </c>
      <c r="O1223" s="10">
        <f t="shared" si="8"/>
        <v>15.0919956</v>
      </c>
      <c r="P1223" s="9">
        <v>7.0</v>
      </c>
      <c r="Q1223" s="11" t="str">
        <f t="shared" si="9"/>
        <v>cobertura correcta</v>
      </c>
      <c r="R1223" s="12"/>
      <c r="S1223" s="8"/>
      <c r="T1223" s="12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ht="15.75" customHeight="1">
      <c r="A1224" s="5" t="s">
        <v>2332</v>
      </c>
      <c r="B1224" s="6" t="s">
        <v>2333</v>
      </c>
      <c r="C1224" s="6">
        <f t="shared" si="1"/>
        <v>6015</v>
      </c>
      <c r="D1224" s="7">
        <v>0.0</v>
      </c>
      <c r="E1224" s="7">
        <v>0.0</v>
      </c>
      <c r="F1224" s="8"/>
      <c r="G1224" s="6">
        <f t="shared" si="3"/>
        <v>6825</v>
      </c>
      <c r="H1224" s="6">
        <f t="shared" si="4"/>
        <v>10955</v>
      </c>
      <c r="I1224" s="6">
        <f t="shared" si="5"/>
        <v>20993</v>
      </c>
      <c r="J1224" s="6">
        <f t="shared" si="6"/>
        <v>89933</v>
      </c>
      <c r="K1224" s="9"/>
      <c r="L1224" s="9"/>
      <c r="M1224" s="9"/>
      <c r="N1224" s="9">
        <f t="shared" si="7"/>
        <v>14.9514547</v>
      </c>
      <c r="O1224" s="10">
        <f t="shared" si="8"/>
        <v>26.43956044</v>
      </c>
      <c r="P1224" s="9">
        <v>7.0</v>
      </c>
      <c r="Q1224" s="11" t="str">
        <f t="shared" si="9"/>
        <v>cobertura correcta</v>
      </c>
      <c r="R1224" s="12"/>
      <c r="S1224" s="8"/>
      <c r="T1224" s="12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ht="15.75" customHeight="1">
      <c r="A1225" s="5" t="s">
        <v>2334</v>
      </c>
      <c r="B1225" s="6" t="s">
        <v>2335</v>
      </c>
      <c r="C1225" s="6">
        <f t="shared" si="1"/>
        <v>8946</v>
      </c>
      <c r="D1225" s="7">
        <v>0.0</v>
      </c>
      <c r="E1225" s="7">
        <v>0.0</v>
      </c>
      <c r="F1225" s="8"/>
      <c r="G1225" s="6">
        <f t="shared" si="3"/>
        <v>5211</v>
      </c>
      <c r="H1225" s="6">
        <f t="shared" si="4"/>
        <v>16054</v>
      </c>
      <c r="I1225" s="6">
        <f t="shared" si="5"/>
        <v>19664</v>
      </c>
      <c r="J1225" s="6">
        <f t="shared" si="6"/>
        <v>78031</v>
      </c>
      <c r="K1225" s="9"/>
      <c r="L1225" s="9"/>
      <c r="M1225" s="9"/>
      <c r="N1225" s="9">
        <f t="shared" si="7"/>
        <v>8.722445786</v>
      </c>
      <c r="O1225" s="10">
        <f t="shared" si="8"/>
        <v>51.50259067</v>
      </c>
      <c r="P1225" s="9">
        <v>7.0</v>
      </c>
      <c r="Q1225" s="11" t="str">
        <f t="shared" si="9"/>
        <v>cobertura correcta</v>
      </c>
      <c r="R1225" s="12"/>
      <c r="S1225" s="8"/>
      <c r="T1225" s="12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ht="15.75" customHeight="1">
      <c r="A1226" s="5" t="s">
        <v>2336</v>
      </c>
      <c r="B1226" s="6" t="s">
        <v>2337</v>
      </c>
      <c r="C1226" s="6">
        <f t="shared" si="1"/>
        <v>4870</v>
      </c>
      <c r="D1226" s="7">
        <v>0.0</v>
      </c>
      <c r="E1226" s="7">
        <v>0.0</v>
      </c>
      <c r="F1226" s="8"/>
      <c r="G1226" s="6">
        <f t="shared" si="3"/>
        <v>7220</v>
      </c>
      <c r="H1226" s="6">
        <f t="shared" si="4"/>
        <v>13736</v>
      </c>
      <c r="I1226" s="6">
        <f t="shared" si="5"/>
        <v>20929</v>
      </c>
      <c r="J1226" s="6">
        <f t="shared" si="6"/>
        <v>96597</v>
      </c>
      <c r="K1226" s="9"/>
      <c r="L1226" s="9"/>
      <c r="M1226" s="9"/>
      <c r="N1226" s="9">
        <f t="shared" si="7"/>
        <v>19.83511294</v>
      </c>
      <c r="O1226" s="10">
        <f t="shared" si="8"/>
        <v>20.23545706</v>
      </c>
      <c r="P1226" s="9">
        <v>20.0</v>
      </c>
      <c r="Q1226" s="11" t="str">
        <f t="shared" si="9"/>
        <v>cobertura correcta</v>
      </c>
      <c r="R1226" s="12"/>
      <c r="S1226" s="8"/>
      <c r="T1226" s="12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ht="15.75" customHeight="1">
      <c r="A1227" s="5" t="s">
        <v>2338</v>
      </c>
      <c r="B1227" s="6" t="s">
        <v>2339</v>
      </c>
      <c r="C1227" s="6">
        <f t="shared" si="1"/>
        <v>7561</v>
      </c>
      <c r="D1227" s="7">
        <v>159.0</v>
      </c>
      <c r="E1227" s="7">
        <v>0.0</v>
      </c>
      <c r="F1227" s="8"/>
      <c r="G1227" s="6">
        <f t="shared" si="3"/>
        <v>1440</v>
      </c>
      <c r="H1227" s="6">
        <f t="shared" si="4"/>
        <v>17639</v>
      </c>
      <c r="I1227" s="6">
        <f t="shared" si="5"/>
        <v>25410</v>
      </c>
      <c r="J1227" s="6">
        <f t="shared" si="6"/>
        <v>69796</v>
      </c>
      <c r="K1227" s="9"/>
      <c r="L1227" s="9"/>
      <c r="M1227" s="9"/>
      <c r="N1227" s="9">
        <f t="shared" si="7"/>
        <v>9.231054093</v>
      </c>
      <c r="O1227" s="10">
        <f t="shared" si="8"/>
        <v>157.5208333</v>
      </c>
      <c r="P1227" s="9">
        <v>7.0</v>
      </c>
      <c r="Q1227" s="11" t="str">
        <f t="shared" si="9"/>
        <v>cobertura correcta</v>
      </c>
      <c r="R1227" s="12"/>
      <c r="S1227" s="8"/>
      <c r="T1227" s="12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ht="15.75" customHeight="1">
      <c r="A1228" s="5" t="s">
        <v>2340</v>
      </c>
      <c r="B1228" s="6" t="s">
        <v>2341</v>
      </c>
      <c r="C1228" s="6">
        <f t="shared" si="1"/>
        <v>2425</v>
      </c>
      <c r="D1228" s="7">
        <v>0.0</v>
      </c>
      <c r="E1228" s="7">
        <v>0.0</v>
      </c>
      <c r="F1228" s="8"/>
      <c r="G1228" s="6">
        <f t="shared" si="3"/>
        <v>6533</v>
      </c>
      <c r="H1228" s="6">
        <f t="shared" si="4"/>
        <v>10577</v>
      </c>
      <c r="I1228" s="6">
        <f t="shared" si="5"/>
        <v>20327</v>
      </c>
      <c r="J1228" s="6">
        <f t="shared" si="6"/>
        <v>66120</v>
      </c>
      <c r="K1228" s="9"/>
      <c r="L1228" s="9"/>
      <c r="M1228" s="9"/>
      <c r="N1228" s="9">
        <f t="shared" si="7"/>
        <v>27.26597938</v>
      </c>
      <c r="O1228" s="10">
        <f t="shared" si="8"/>
        <v>11.13577223</v>
      </c>
      <c r="P1228" s="9">
        <v>7.0</v>
      </c>
      <c r="Q1228" s="11" t="str">
        <f t="shared" si="9"/>
        <v>cobertura correcta</v>
      </c>
      <c r="R1228" s="12"/>
      <c r="S1228" s="8"/>
      <c r="T1228" s="12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ht="15.75" customHeight="1">
      <c r="A1229" s="5" t="s">
        <v>2342</v>
      </c>
      <c r="B1229" s="6" t="s">
        <v>2343</v>
      </c>
      <c r="C1229" s="6">
        <f t="shared" si="1"/>
        <v>4697</v>
      </c>
      <c r="D1229" s="7">
        <v>0.0</v>
      </c>
      <c r="E1229" s="7">
        <v>0.0</v>
      </c>
      <c r="F1229" s="8"/>
      <c r="G1229" s="6">
        <f t="shared" si="3"/>
        <v>1080</v>
      </c>
      <c r="H1229" s="6">
        <f t="shared" si="4"/>
        <v>11371</v>
      </c>
      <c r="I1229" s="6">
        <f t="shared" si="5"/>
        <v>23721</v>
      </c>
      <c r="J1229" s="6">
        <f t="shared" si="6"/>
        <v>91093</v>
      </c>
      <c r="K1229" s="9"/>
      <c r="L1229" s="9"/>
      <c r="M1229" s="9"/>
      <c r="N1229" s="9">
        <f t="shared" si="7"/>
        <v>19.39386843</v>
      </c>
      <c r="O1229" s="10">
        <f t="shared" si="8"/>
        <v>130.4722222</v>
      </c>
      <c r="P1229" s="9">
        <v>15.0</v>
      </c>
      <c r="Q1229" s="11" t="str">
        <f t="shared" si="9"/>
        <v>cobertura correcta</v>
      </c>
      <c r="R1229" s="12"/>
      <c r="S1229" s="8"/>
      <c r="T1229" s="12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ht="15.75" customHeight="1">
      <c r="A1230" s="5" t="s">
        <v>2344</v>
      </c>
      <c r="B1230" s="6" t="s">
        <v>2345</v>
      </c>
      <c r="C1230" s="6">
        <f t="shared" si="1"/>
        <v>4079</v>
      </c>
      <c r="D1230" s="7">
        <v>0.0</v>
      </c>
      <c r="E1230" s="7">
        <v>0.0</v>
      </c>
      <c r="F1230" s="8"/>
      <c r="G1230" s="6">
        <f t="shared" si="3"/>
        <v>5097</v>
      </c>
      <c r="H1230" s="6">
        <f t="shared" si="4"/>
        <v>13814</v>
      </c>
      <c r="I1230" s="6">
        <f t="shared" si="5"/>
        <v>24854</v>
      </c>
      <c r="J1230" s="6">
        <f t="shared" si="6"/>
        <v>86760</v>
      </c>
      <c r="K1230" s="9"/>
      <c r="L1230" s="9"/>
      <c r="M1230" s="9"/>
      <c r="N1230" s="9">
        <f t="shared" si="7"/>
        <v>21.2699191</v>
      </c>
      <c r="O1230" s="10">
        <f t="shared" si="8"/>
        <v>24.00824014</v>
      </c>
      <c r="P1230" s="9">
        <v>15.0</v>
      </c>
      <c r="Q1230" s="11" t="str">
        <f t="shared" si="9"/>
        <v>cobertura correcta</v>
      </c>
      <c r="R1230" s="12"/>
      <c r="S1230" s="8"/>
      <c r="T1230" s="12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ht="15.75" customHeight="1">
      <c r="A1231" s="5" t="s">
        <v>2346</v>
      </c>
      <c r="B1231" s="6" t="s">
        <v>2347</v>
      </c>
      <c r="C1231" s="6">
        <f t="shared" si="1"/>
        <v>7706</v>
      </c>
      <c r="D1231" s="6">
        <f>RANDBETWEEN(0, 350)</f>
        <v>52</v>
      </c>
      <c r="E1231" s="7">
        <v>0.0</v>
      </c>
      <c r="F1231" s="8"/>
      <c r="G1231" s="6">
        <f t="shared" si="3"/>
        <v>7352</v>
      </c>
      <c r="H1231" s="6">
        <f t="shared" si="4"/>
        <v>14748</v>
      </c>
      <c r="I1231" s="6">
        <f t="shared" si="5"/>
        <v>20298</v>
      </c>
      <c r="J1231" s="6">
        <f t="shared" si="6"/>
        <v>90766</v>
      </c>
      <c r="K1231" s="9"/>
      <c r="L1231" s="9"/>
      <c r="M1231" s="9"/>
      <c r="N1231" s="9">
        <f t="shared" si="7"/>
        <v>11.77861407</v>
      </c>
      <c r="O1231" s="10">
        <f t="shared" si="8"/>
        <v>31.4445049</v>
      </c>
      <c r="P1231" s="9">
        <v>7.0</v>
      </c>
      <c r="Q1231" s="11" t="str">
        <f t="shared" si="9"/>
        <v>cobertura correcta</v>
      </c>
      <c r="R1231" s="12"/>
      <c r="S1231" s="8"/>
      <c r="T1231" s="12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ht="15.75" customHeight="1">
      <c r="A1232" s="5" t="s">
        <v>2348</v>
      </c>
      <c r="B1232" s="6" t="s">
        <v>2349</v>
      </c>
      <c r="C1232" s="6">
        <f t="shared" si="1"/>
        <v>3498</v>
      </c>
      <c r="D1232" s="7">
        <v>0.0</v>
      </c>
      <c r="E1232" s="7">
        <v>0.0</v>
      </c>
      <c r="F1232" s="8"/>
      <c r="G1232" s="6">
        <f t="shared" si="3"/>
        <v>1289</v>
      </c>
      <c r="H1232" s="6">
        <f t="shared" si="4"/>
        <v>15565</v>
      </c>
      <c r="I1232" s="6">
        <f t="shared" si="5"/>
        <v>27328</v>
      </c>
      <c r="J1232" s="6">
        <f t="shared" si="6"/>
        <v>96689</v>
      </c>
      <c r="K1232" s="9"/>
      <c r="L1232" s="9"/>
      <c r="M1232" s="9"/>
      <c r="N1232" s="9">
        <f t="shared" si="7"/>
        <v>27.64122356</v>
      </c>
      <c r="O1232" s="10">
        <f t="shared" si="8"/>
        <v>81.41194725</v>
      </c>
      <c r="P1232" s="9">
        <v>20.0</v>
      </c>
      <c r="Q1232" s="11" t="str">
        <f t="shared" si="9"/>
        <v>cobertura correcta</v>
      </c>
      <c r="R1232" s="12"/>
      <c r="S1232" s="8"/>
      <c r="T1232" s="12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ht="15.75" customHeight="1">
      <c r="A1233" s="5" t="s">
        <v>2350</v>
      </c>
      <c r="B1233" s="6" t="s">
        <v>2351</v>
      </c>
      <c r="C1233" s="6">
        <f t="shared" si="1"/>
        <v>5211</v>
      </c>
      <c r="D1233" s="7">
        <v>0.0</v>
      </c>
      <c r="E1233" s="7">
        <v>0.0</v>
      </c>
      <c r="F1233" s="8"/>
      <c r="G1233" s="6">
        <f t="shared" si="3"/>
        <v>7279</v>
      </c>
      <c r="H1233" s="6">
        <f t="shared" si="4"/>
        <v>11106</v>
      </c>
      <c r="I1233" s="6">
        <f t="shared" si="5"/>
        <v>27422</v>
      </c>
      <c r="J1233" s="6">
        <f t="shared" si="6"/>
        <v>79797</v>
      </c>
      <c r="K1233" s="9"/>
      <c r="L1233" s="9"/>
      <c r="M1233" s="9"/>
      <c r="N1233" s="9">
        <f t="shared" si="7"/>
        <v>15.31318365</v>
      </c>
      <c r="O1233" s="10">
        <f t="shared" si="8"/>
        <v>21.47685122</v>
      </c>
      <c r="P1233" s="9">
        <v>7.0</v>
      </c>
      <c r="Q1233" s="11" t="str">
        <f t="shared" si="9"/>
        <v>cobertura correcta</v>
      </c>
      <c r="R1233" s="12"/>
      <c r="S1233" s="8"/>
      <c r="T1233" s="12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ht="15.75" customHeight="1">
      <c r="A1234" s="5" t="s">
        <v>2352</v>
      </c>
      <c r="B1234" s="6" t="s">
        <v>2353</v>
      </c>
      <c r="C1234" s="6">
        <f t="shared" si="1"/>
        <v>5988</v>
      </c>
      <c r="D1234" s="6">
        <f>RANDBETWEEN(0, 350)</f>
        <v>298</v>
      </c>
      <c r="E1234" s="7">
        <v>0.0</v>
      </c>
      <c r="F1234" s="8"/>
      <c r="G1234" s="6">
        <f t="shared" si="3"/>
        <v>2140</v>
      </c>
      <c r="H1234" s="6">
        <f t="shared" si="4"/>
        <v>18241</v>
      </c>
      <c r="I1234" s="6">
        <f t="shared" si="5"/>
        <v>22492</v>
      </c>
      <c r="J1234" s="6">
        <f t="shared" si="6"/>
        <v>71681</v>
      </c>
      <c r="K1234" s="9"/>
      <c r="L1234" s="9"/>
      <c r="M1234" s="9"/>
      <c r="N1234" s="9">
        <f t="shared" si="7"/>
        <v>11.97077488</v>
      </c>
      <c r="O1234" s="10">
        <f t="shared" si="8"/>
        <v>83.94392523</v>
      </c>
      <c r="P1234" s="9">
        <v>7.0</v>
      </c>
      <c r="Q1234" s="11" t="str">
        <f t="shared" si="9"/>
        <v>cobertura correcta</v>
      </c>
      <c r="R1234" s="12"/>
      <c r="S1234" s="8"/>
      <c r="T1234" s="12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ht="15.75" customHeight="1">
      <c r="A1235" s="5" t="s">
        <v>2354</v>
      </c>
      <c r="B1235" s="6" t="s">
        <v>2355</v>
      </c>
      <c r="C1235" s="6">
        <f t="shared" si="1"/>
        <v>4413</v>
      </c>
      <c r="D1235" s="7">
        <v>0.0</v>
      </c>
      <c r="E1235" s="7">
        <v>0.0</v>
      </c>
      <c r="F1235" s="8"/>
      <c r="G1235" s="6">
        <f t="shared" si="3"/>
        <v>5164</v>
      </c>
      <c r="H1235" s="6">
        <f t="shared" si="4"/>
        <v>11914</v>
      </c>
      <c r="I1235" s="6">
        <f t="shared" si="5"/>
        <v>27147</v>
      </c>
      <c r="J1235" s="6">
        <f t="shared" si="6"/>
        <v>61065</v>
      </c>
      <c r="K1235" s="9"/>
      <c r="L1235" s="9"/>
      <c r="M1235" s="9"/>
      <c r="N1235" s="9">
        <f t="shared" si="7"/>
        <v>13.83752549</v>
      </c>
      <c r="O1235" s="10">
        <f t="shared" si="8"/>
        <v>25.63710302</v>
      </c>
      <c r="P1235" s="9">
        <v>7.0</v>
      </c>
      <c r="Q1235" s="11" t="str">
        <f t="shared" si="9"/>
        <v>cobertura correcta</v>
      </c>
      <c r="R1235" s="12"/>
      <c r="S1235" s="8"/>
      <c r="T1235" s="12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ht="15.75" customHeight="1">
      <c r="A1236" s="5" t="s">
        <v>2356</v>
      </c>
      <c r="B1236" s="6" t="s">
        <v>2357</v>
      </c>
      <c r="C1236" s="6">
        <f t="shared" si="1"/>
        <v>7923</v>
      </c>
      <c r="D1236" s="6">
        <f>RANDBETWEEN(0, 350)</f>
        <v>208</v>
      </c>
      <c r="E1236" s="7">
        <v>0.0</v>
      </c>
      <c r="F1236" s="8"/>
      <c r="G1236" s="6">
        <f t="shared" si="3"/>
        <v>4498</v>
      </c>
      <c r="H1236" s="6">
        <f t="shared" si="4"/>
        <v>10926</v>
      </c>
      <c r="I1236" s="6">
        <f t="shared" si="5"/>
        <v>22452</v>
      </c>
      <c r="J1236" s="6">
        <f t="shared" si="6"/>
        <v>32773</v>
      </c>
      <c r="K1236" s="9"/>
      <c r="L1236" s="9"/>
      <c r="M1236" s="9"/>
      <c r="N1236" s="9">
        <f t="shared" si="7"/>
        <v>4.136438218</v>
      </c>
      <c r="O1236" s="10">
        <f t="shared" si="8"/>
        <v>52.84348599</v>
      </c>
      <c r="P1236" s="9">
        <v>20.0</v>
      </c>
      <c r="Q1236" s="11" t="str">
        <f t="shared" si="9"/>
        <v>cobertura correcta</v>
      </c>
      <c r="R1236" s="12"/>
      <c r="S1236" s="8"/>
      <c r="T1236" s="12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ht="15.75" customHeight="1">
      <c r="A1237" s="5" t="s">
        <v>2358</v>
      </c>
      <c r="B1237" s="6" t="s">
        <v>2359</v>
      </c>
      <c r="C1237" s="6">
        <f t="shared" si="1"/>
        <v>8581</v>
      </c>
      <c r="D1237" s="7">
        <v>0.0</v>
      </c>
      <c r="E1237" s="7">
        <v>0.0</v>
      </c>
      <c r="F1237" s="8"/>
      <c r="G1237" s="6">
        <f t="shared" si="3"/>
        <v>5343</v>
      </c>
      <c r="H1237" s="6">
        <f t="shared" si="4"/>
        <v>14457</v>
      </c>
      <c r="I1237" s="6">
        <f t="shared" si="5"/>
        <v>24108</v>
      </c>
      <c r="J1237" s="6">
        <f t="shared" si="6"/>
        <v>90466</v>
      </c>
      <c r="K1237" s="9"/>
      <c r="L1237" s="9"/>
      <c r="M1237" s="9"/>
      <c r="N1237" s="9">
        <f t="shared" si="7"/>
        <v>10.5425941</v>
      </c>
      <c r="O1237" s="10">
        <f t="shared" si="8"/>
        <v>48.1807973</v>
      </c>
      <c r="P1237" s="9">
        <v>7.0</v>
      </c>
      <c r="Q1237" s="11" t="str">
        <f t="shared" si="9"/>
        <v>cobertura correcta</v>
      </c>
      <c r="R1237" s="12"/>
      <c r="S1237" s="8"/>
      <c r="T1237" s="12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ht="15.75" customHeight="1">
      <c r="A1238" s="5" t="s">
        <v>2360</v>
      </c>
      <c r="B1238" s="6" t="s">
        <v>2361</v>
      </c>
      <c r="C1238" s="6">
        <f t="shared" si="1"/>
        <v>8249</v>
      </c>
      <c r="D1238" s="7">
        <v>0.0</v>
      </c>
      <c r="E1238" s="7">
        <v>0.0</v>
      </c>
      <c r="F1238" s="8"/>
      <c r="G1238" s="6">
        <f t="shared" si="3"/>
        <v>3253</v>
      </c>
      <c r="H1238" s="6">
        <f t="shared" si="4"/>
        <v>17918</v>
      </c>
      <c r="I1238" s="6">
        <f t="shared" si="5"/>
        <v>24368</v>
      </c>
      <c r="J1238" s="6">
        <f t="shared" si="6"/>
        <v>37961</v>
      </c>
      <c r="K1238" s="9"/>
      <c r="L1238" s="9"/>
      <c r="M1238" s="9"/>
      <c r="N1238" s="9">
        <f t="shared" si="7"/>
        <v>4.601891138</v>
      </c>
      <c r="O1238" s="10">
        <f t="shared" si="8"/>
        <v>76.07439287</v>
      </c>
      <c r="P1238" s="9">
        <v>7.0</v>
      </c>
      <c r="Q1238" s="11" t="str">
        <f t="shared" si="9"/>
        <v>cobertura correcta</v>
      </c>
      <c r="R1238" s="12"/>
      <c r="S1238" s="8"/>
      <c r="T1238" s="12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ht="15.75" customHeight="1">
      <c r="A1239" s="5" t="s">
        <v>2362</v>
      </c>
      <c r="B1239" s="6" t="s">
        <v>2363</v>
      </c>
      <c r="C1239" s="6">
        <f t="shared" si="1"/>
        <v>2557</v>
      </c>
      <c r="D1239" s="7">
        <v>0.0</v>
      </c>
      <c r="E1239" s="7">
        <v>0.0</v>
      </c>
      <c r="F1239" s="8"/>
      <c r="G1239" s="6">
        <f t="shared" si="3"/>
        <v>1964</v>
      </c>
      <c r="H1239" s="6">
        <f t="shared" si="4"/>
        <v>16809</v>
      </c>
      <c r="I1239" s="6">
        <f t="shared" si="5"/>
        <v>28353</v>
      </c>
      <c r="J1239" s="6">
        <f t="shared" si="6"/>
        <v>77674</v>
      </c>
      <c r="K1239" s="9"/>
      <c r="L1239" s="9"/>
      <c r="M1239" s="9"/>
      <c r="N1239" s="9">
        <f t="shared" si="7"/>
        <v>30.3770043</v>
      </c>
      <c r="O1239" s="10">
        <f t="shared" si="8"/>
        <v>39.05804481</v>
      </c>
      <c r="P1239" s="9">
        <v>7.0</v>
      </c>
      <c r="Q1239" s="11" t="str">
        <f t="shared" si="9"/>
        <v>cobertura correcta</v>
      </c>
      <c r="R1239" s="12"/>
      <c r="S1239" s="8"/>
      <c r="T1239" s="12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ht="15.75" customHeight="1">
      <c r="A1240" s="5" t="s">
        <v>2364</v>
      </c>
      <c r="B1240" s="6" t="s">
        <v>2365</v>
      </c>
      <c r="C1240" s="6">
        <f t="shared" si="1"/>
        <v>7211</v>
      </c>
      <c r="D1240" s="7">
        <v>0.0</v>
      </c>
      <c r="E1240" s="7">
        <v>0.0</v>
      </c>
      <c r="F1240" s="8"/>
      <c r="G1240" s="6">
        <f t="shared" si="3"/>
        <v>1717</v>
      </c>
      <c r="H1240" s="6">
        <f t="shared" si="4"/>
        <v>13637</v>
      </c>
      <c r="I1240" s="6">
        <f t="shared" si="5"/>
        <v>24010</v>
      </c>
      <c r="J1240" s="6">
        <f t="shared" si="6"/>
        <v>56180</v>
      </c>
      <c r="K1240" s="9"/>
      <c r="L1240" s="9"/>
      <c r="M1240" s="9"/>
      <c r="N1240" s="9">
        <f t="shared" si="7"/>
        <v>7.790875052</v>
      </c>
      <c r="O1240" s="10">
        <f t="shared" si="8"/>
        <v>125.9930111</v>
      </c>
      <c r="P1240" s="9">
        <v>7.0</v>
      </c>
      <c r="Q1240" s="11" t="str">
        <f t="shared" si="9"/>
        <v>cobertura correcta</v>
      </c>
      <c r="R1240" s="12"/>
      <c r="S1240" s="8"/>
      <c r="T1240" s="12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ht="15.75" customHeight="1">
      <c r="A1241" s="5" t="s">
        <v>2366</v>
      </c>
      <c r="B1241" s="6" t="s">
        <v>2367</v>
      </c>
      <c r="C1241" s="6">
        <f t="shared" si="1"/>
        <v>6796</v>
      </c>
      <c r="D1241" s="7">
        <v>0.0</v>
      </c>
      <c r="E1241" s="7">
        <v>0.0</v>
      </c>
      <c r="F1241" s="8"/>
      <c r="G1241" s="6">
        <f t="shared" si="3"/>
        <v>4628</v>
      </c>
      <c r="H1241" s="6">
        <f t="shared" si="4"/>
        <v>11524</v>
      </c>
      <c r="I1241" s="6">
        <f t="shared" si="5"/>
        <v>27863</v>
      </c>
      <c r="J1241" s="6">
        <f t="shared" si="6"/>
        <v>60246</v>
      </c>
      <c r="K1241" s="9"/>
      <c r="L1241" s="9"/>
      <c r="M1241" s="9"/>
      <c r="N1241" s="9">
        <f t="shared" si="7"/>
        <v>8.864920541</v>
      </c>
      <c r="O1241" s="10">
        <f t="shared" si="8"/>
        <v>44.05358686</v>
      </c>
      <c r="P1241" s="9">
        <v>7.0</v>
      </c>
      <c r="Q1241" s="11" t="str">
        <f t="shared" si="9"/>
        <v>cobertura correcta</v>
      </c>
      <c r="R1241" s="12"/>
      <c r="S1241" s="8"/>
      <c r="T1241" s="12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ht="15.75" customHeight="1">
      <c r="A1242" s="5" t="s">
        <v>2368</v>
      </c>
      <c r="B1242" s="6" t="s">
        <v>2369</v>
      </c>
      <c r="C1242" s="6">
        <f t="shared" si="1"/>
        <v>4650</v>
      </c>
      <c r="D1242" s="7">
        <v>0.0</v>
      </c>
      <c r="E1242" s="7">
        <v>0.0</v>
      </c>
      <c r="F1242" s="8"/>
      <c r="G1242" s="6">
        <f t="shared" si="3"/>
        <v>8651</v>
      </c>
      <c r="H1242" s="6">
        <f t="shared" si="4"/>
        <v>15761</v>
      </c>
      <c r="I1242" s="6">
        <f t="shared" si="5"/>
        <v>19086</v>
      </c>
      <c r="J1242" s="6">
        <f t="shared" si="6"/>
        <v>44194</v>
      </c>
      <c r="K1242" s="9"/>
      <c r="L1242" s="9"/>
      <c r="M1242" s="9"/>
      <c r="N1242" s="9">
        <f t="shared" si="7"/>
        <v>9.504086022</v>
      </c>
      <c r="O1242" s="10">
        <f t="shared" si="8"/>
        <v>16.12530343</v>
      </c>
      <c r="P1242" s="9">
        <v>7.0</v>
      </c>
      <c r="Q1242" s="11" t="str">
        <f t="shared" si="9"/>
        <v>cobertura correcta</v>
      </c>
      <c r="R1242" s="12"/>
      <c r="S1242" s="8"/>
      <c r="T1242" s="12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ht="15.75" customHeight="1">
      <c r="A1243" s="5" t="s">
        <v>2370</v>
      </c>
      <c r="B1243" s="6" t="s">
        <v>2371</v>
      </c>
      <c r="C1243" s="6">
        <f t="shared" si="1"/>
        <v>4072</v>
      </c>
      <c r="D1243" s="7">
        <v>0.0</v>
      </c>
      <c r="E1243" s="7">
        <v>0.0</v>
      </c>
      <c r="F1243" s="8"/>
      <c r="G1243" s="6">
        <f t="shared" si="3"/>
        <v>5369</v>
      </c>
      <c r="H1243" s="6">
        <f t="shared" si="4"/>
        <v>18249</v>
      </c>
      <c r="I1243" s="6">
        <f t="shared" si="5"/>
        <v>26245</v>
      </c>
      <c r="J1243" s="6">
        <f t="shared" si="6"/>
        <v>50380</v>
      </c>
      <c r="K1243" s="9"/>
      <c r="L1243" s="9"/>
      <c r="M1243" s="9"/>
      <c r="N1243" s="9">
        <f t="shared" si="7"/>
        <v>12.37229862</v>
      </c>
      <c r="O1243" s="10">
        <f t="shared" si="8"/>
        <v>22.75284038</v>
      </c>
      <c r="P1243" s="9">
        <v>30.0</v>
      </c>
      <c r="Q1243" s="11" t="str">
        <f t="shared" si="9"/>
        <v>¡Compra YA!</v>
      </c>
      <c r="R1243" s="12"/>
      <c r="S1243" s="8"/>
      <c r="T1243" s="12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ht="15.75" customHeight="1">
      <c r="A1244" s="5" t="s">
        <v>2372</v>
      </c>
      <c r="B1244" s="6" t="s">
        <v>2373</v>
      </c>
      <c r="C1244" s="6">
        <f t="shared" si="1"/>
        <v>1857</v>
      </c>
      <c r="D1244" s="7">
        <v>0.0</v>
      </c>
      <c r="E1244" s="7">
        <v>0.0</v>
      </c>
      <c r="F1244" s="8"/>
      <c r="G1244" s="6">
        <f t="shared" si="3"/>
        <v>2285</v>
      </c>
      <c r="H1244" s="6">
        <f t="shared" si="4"/>
        <v>18911</v>
      </c>
      <c r="I1244" s="6">
        <f t="shared" si="5"/>
        <v>19746</v>
      </c>
      <c r="J1244" s="6">
        <f t="shared" si="6"/>
        <v>45743</v>
      </c>
      <c r="K1244" s="9"/>
      <c r="L1244" s="9"/>
      <c r="M1244" s="9"/>
      <c r="N1244" s="9">
        <f t="shared" si="7"/>
        <v>24.63274098</v>
      </c>
      <c r="O1244" s="10">
        <f t="shared" si="8"/>
        <v>24.38074398</v>
      </c>
      <c r="P1244" s="9">
        <v>7.0</v>
      </c>
      <c r="Q1244" s="11" t="str">
        <f t="shared" si="9"/>
        <v>cobertura correcta</v>
      </c>
      <c r="R1244" s="12"/>
      <c r="S1244" s="8"/>
      <c r="T1244" s="12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ht="15.75" customHeight="1">
      <c r="A1245" s="5" t="s">
        <v>2374</v>
      </c>
      <c r="B1245" s="6" t="s">
        <v>2375</v>
      </c>
      <c r="C1245" s="6">
        <f t="shared" si="1"/>
        <v>1318</v>
      </c>
      <c r="D1245" s="7">
        <v>0.0</v>
      </c>
      <c r="E1245" s="7">
        <v>0.0</v>
      </c>
      <c r="F1245" s="8"/>
      <c r="G1245" s="6">
        <f t="shared" si="3"/>
        <v>3129</v>
      </c>
      <c r="H1245" s="6">
        <f t="shared" si="4"/>
        <v>17998</v>
      </c>
      <c r="I1245" s="6">
        <f t="shared" si="5"/>
        <v>20396</v>
      </c>
      <c r="J1245" s="6">
        <f t="shared" si="6"/>
        <v>90669</v>
      </c>
      <c r="K1245" s="9"/>
      <c r="L1245" s="9"/>
      <c r="M1245" s="9"/>
      <c r="N1245" s="9">
        <f t="shared" si="7"/>
        <v>68.79286798</v>
      </c>
      <c r="O1245" s="10">
        <f t="shared" si="8"/>
        <v>12.63662512</v>
      </c>
      <c r="P1245" s="9">
        <v>7.0</v>
      </c>
      <c r="Q1245" s="11" t="str">
        <f t="shared" si="9"/>
        <v>cobertura correcta</v>
      </c>
      <c r="R1245" s="12"/>
      <c r="S1245" s="8"/>
      <c r="T1245" s="12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ht="15.75" customHeight="1">
      <c r="A1246" s="5" t="s">
        <v>2376</v>
      </c>
      <c r="B1246" s="6" t="s">
        <v>2377</v>
      </c>
      <c r="C1246" s="6">
        <f t="shared" si="1"/>
        <v>2205</v>
      </c>
      <c r="D1246" s="6">
        <f>RANDBETWEEN(0, 350)</f>
        <v>131</v>
      </c>
      <c r="E1246" s="7">
        <v>0.0</v>
      </c>
      <c r="F1246" s="8"/>
      <c r="G1246" s="6">
        <f t="shared" si="3"/>
        <v>3713</v>
      </c>
      <c r="H1246" s="6">
        <f t="shared" si="4"/>
        <v>18942</v>
      </c>
      <c r="I1246" s="6">
        <f t="shared" si="5"/>
        <v>22407</v>
      </c>
      <c r="J1246" s="6">
        <f t="shared" si="6"/>
        <v>58509</v>
      </c>
      <c r="K1246" s="9"/>
      <c r="L1246" s="9"/>
      <c r="M1246" s="9"/>
      <c r="N1246" s="9">
        <f t="shared" si="7"/>
        <v>26.53469388</v>
      </c>
      <c r="O1246" s="10">
        <f t="shared" si="8"/>
        <v>17.81578239</v>
      </c>
      <c r="P1246" s="9">
        <v>15.0</v>
      </c>
      <c r="Q1246" s="11" t="str">
        <f t="shared" si="9"/>
        <v>cobertura correcta</v>
      </c>
      <c r="R1246" s="12"/>
      <c r="S1246" s="8"/>
      <c r="T1246" s="12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ht="15.75" customHeight="1">
      <c r="A1247" s="5" t="s">
        <v>2378</v>
      </c>
      <c r="B1247" s="6" t="s">
        <v>2379</v>
      </c>
      <c r="C1247" s="6">
        <f t="shared" si="1"/>
        <v>6873</v>
      </c>
      <c r="D1247" s="7">
        <v>0.0</v>
      </c>
      <c r="E1247" s="7">
        <v>0.0</v>
      </c>
      <c r="F1247" s="8"/>
      <c r="G1247" s="6">
        <f t="shared" si="3"/>
        <v>3485</v>
      </c>
      <c r="H1247" s="6">
        <f t="shared" si="4"/>
        <v>14963</v>
      </c>
      <c r="I1247" s="6">
        <f t="shared" si="5"/>
        <v>20937</v>
      </c>
      <c r="J1247" s="6">
        <f t="shared" si="6"/>
        <v>66464</v>
      </c>
      <c r="K1247" s="9"/>
      <c r="L1247" s="9"/>
      <c r="M1247" s="9"/>
      <c r="N1247" s="9">
        <f t="shared" si="7"/>
        <v>9.670304088</v>
      </c>
      <c r="O1247" s="10">
        <f t="shared" si="8"/>
        <v>59.16499283</v>
      </c>
      <c r="P1247" s="9">
        <v>7.0</v>
      </c>
      <c r="Q1247" s="11" t="str">
        <f t="shared" si="9"/>
        <v>cobertura correcta</v>
      </c>
      <c r="R1247" s="12"/>
      <c r="S1247" s="8"/>
      <c r="T1247" s="12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ht="15.75" customHeight="1">
      <c r="A1248" s="5" t="s">
        <v>2380</v>
      </c>
      <c r="B1248" s="6" t="s">
        <v>2381</v>
      </c>
      <c r="C1248" s="6">
        <f t="shared" si="1"/>
        <v>4079</v>
      </c>
      <c r="D1248" s="7">
        <v>0.0</v>
      </c>
      <c r="E1248" s="7">
        <v>0.0</v>
      </c>
      <c r="F1248" s="8"/>
      <c r="G1248" s="6">
        <f t="shared" si="3"/>
        <v>3073</v>
      </c>
      <c r="H1248" s="6">
        <f t="shared" si="4"/>
        <v>9887</v>
      </c>
      <c r="I1248" s="6">
        <f t="shared" si="5"/>
        <v>28529</v>
      </c>
      <c r="J1248" s="6">
        <f t="shared" si="6"/>
        <v>39728</v>
      </c>
      <c r="K1248" s="9"/>
      <c r="L1248" s="9"/>
      <c r="M1248" s="9"/>
      <c r="N1248" s="9">
        <f t="shared" si="7"/>
        <v>9.739642069</v>
      </c>
      <c r="O1248" s="10">
        <f t="shared" si="8"/>
        <v>39.8210218</v>
      </c>
      <c r="P1248" s="9">
        <v>7.0</v>
      </c>
      <c r="Q1248" s="11" t="str">
        <f t="shared" si="9"/>
        <v>cobertura correcta</v>
      </c>
      <c r="R1248" s="12"/>
      <c r="S1248" s="8"/>
      <c r="T1248" s="12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ht="15.75" customHeight="1">
      <c r="A1249" s="5" t="s">
        <v>2382</v>
      </c>
      <c r="B1249" s="6" t="s">
        <v>2383</v>
      </c>
      <c r="C1249" s="6">
        <f t="shared" si="1"/>
        <v>1726</v>
      </c>
      <c r="D1249" s="6">
        <f>RANDBETWEEN(0, 350)</f>
        <v>238</v>
      </c>
      <c r="E1249" s="7">
        <v>0.0</v>
      </c>
      <c r="F1249" s="8"/>
      <c r="G1249" s="6">
        <f t="shared" si="3"/>
        <v>7757</v>
      </c>
      <c r="H1249" s="6">
        <f t="shared" si="4"/>
        <v>16498</v>
      </c>
      <c r="I1249" s="6">
        <f t="shared" si="5"/>
        <v>20968</v>
      </c>
      <c r="J1249" s="6">
        <f t="shared" si="6"/>
        <v>70262</v>
      </c>
      <c r="K1249" s="9"/>
      <c r="L1249" s="9"/>
      <c r="M1249" s="9"/>
      <c r="N1249" s="9">
        <f t="shared" si="7"/>
        <v>40.70799537</v>
      </c>
      <c r="O1249" s="10">
        <f t="shared" si="8"/>
        <v>6.675261055</v>
      </c>
      <c r="P1249" s="9">
        <v>7.0</v>
      </c>
      <c r="Q1249" s="11" t="str">
        <f t="shared" si="9"/>
        <v>¡Compra YA!</v>
      </c>
      <c r="R1249" s="12"/>
      <c r="S1249" s="8"/>
      <c r="T1249" s="12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ht="15.75" customHeight="1">
      <c r="A1250" s="5" t="s">
        <v>2384</v>
      </c>
      <c r="B1250" s="6" t="s">
        <v>2385</v>
      </c>
      <c r="C1250" s="6">
        <f t="shared" si="1"/>
        <v>1541</v>
      </c>
      <c r="D1250" s="7">
        <v>0.0</v>
      </c>
      <c r="E1250" s="7">
        <v>0.0</v>
      </c>
      <c r="F1250" s="8"/>
      <c r="G1250" s="6">
        <f t="shared" si="3"/>
        <v>2965</v>
      </c>
      <c r="H1250" s="6">
        <f t="shared" si="4"/>
        <v>15408</v>
      </c>
      <c r="I1250" s="6">
        <f t="shared" si="5"/>
        <v>25776</v>
      </c>
      <c r="J1250" s="6">
        <f t="shared" si="6"/>
        <v>45168</v>
      </c>
      <c r="K1250" s="9"/>
      <c r="L1250" s="9"/>
      <c r="M1250" s="9"/>
      <c r="N1250" s="9">
        <f t="shared" si="7"/>
        <v>29.31083712</v>
      </c>
      <c r="O1250" s="10">
        <f t="shared" si="8"/>
        <v>15.59190556</v>
      </c>
      <c r="P1250" s="9">
        <v>7.0</v>
      </c>
      <c r="Q1250" s="11" t="str">
        <f t="shared" si="9"/>
        <v>cobertura correcta</v>
      </c>
      <c r="R1250" s="12"/>
      <c r="S1250" s="8"/>
      <c r="T1250" s="12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ht="15.75" customHeight="1">
      <c r="A1251" s="5" t="s">
        <v>2386</v>
      </c>
      <c r="B1251" s="6" t="s">
        <v>2387</v>
      </c>
      <c r="C1251" s="6">
        <f t="shared" si="1"/>
        <v>8323</v>
      </c>
      <c r="D1251" s="7">
        <v>0.0</v>
      </c>
      <c r="E1251" s="7">
        <v>0.0</v>
      </c>
      <c r="F1251" s="8"/>
      <c r="G1251" s="6">
        <f t="shared" si="3"/>
        <v>4930</v>
      </c>
      <c r="H1251" s="6">
        <f t="shared" si="4"/>
        <v>16775</v>
      </c>
      <c r="I1251" s="6">
        <f t="shared" si="5"/>
        <v>25328</v>
      </c>
      <c r="J1251" s="6">
        <f t="shared" si="6"/>
        <v>86520</v>
      </c>
      <c r="K1251" s="9"/>
      <c r="L1251" s="9"/>
      <c r="M1251" s="9"/>
      <c r="N1251" s="9">
        <f t="shared" si="7"/>
        <v>10.39529016</v>
      </c>
      <c r="O1251" s="10">
        <f t="shared" si="8"/>
        <v>50.64705882</v>
      </c>
      <c r="P1251" s="9">
        <v>7.0</v>
      </c>
      <c r="Q1251" s="11" t="str">
        <f t="shared" si="9"/>
        <v>cobertura correcta</v>
      </c>
      <c r="R1251" s="12"/>
      <c r="S1251" s="8"/>
      <c r="T1251" s="12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ht="15.75" customHeight="1">
      <c r="A1252" s="5" t="s">
        <v>2388</v>
      </c>
      <c r="B1252" s="6" t="s">
        <v>2389</v>
      </c>
      <c r="C1252" s="6">
        <f t="shared" si="1"/>
        <v>8328</v>
      </c>
      <c r="D1252" s="7">
        <v>0.0</v>
      </c>
      <c r="E1252" s="7">
        <v>0.0</v>
      </c>
      <c r="F1252" s="8"/>
      <c r="G1252" s="6">
        <f t="shared" si="3"/>
        <v>6735</v>
      </c>
      <c r="H1252" s="6">
        <f t="shared" si="4"/>
        <v>15380</v>
      </c>
      <c r="I1252" s="6">
        <f t="shared" si="5"/>
        <v>23224</v>
      </c>
      <c r="J1252" s="6">
        <f t="shared" si="6"/>
        <v>83733</v>
      </c>
      <c r="K1252" s="9"/>
      <c r="L1252" s="9"/>
      <c r="M1252" s="9"/>
      <c r="N1252" s="9">
        <f t="shared" si="7"/>
        <v>10.05439481</v>
      </c>
      <c r="O1252" s="10">
        <f t="shared" si="8"/>
        <v>37.09576837</v>
      </c>
      <c r="P1252" s="9">
        <v>7.0</v>
      </c>
      <c r="Q1252" s="11" t="str">
        <f t="shared" si="9"/>
        <v>cobertura correcta</v>
      </c>
      <c r="R1252" s="12"/>
      <c r="S1252" s="8"/>
      <c r="T1252" s="12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ht="15.75" customHeight="1">
      <c r="A1253" s="5" t="s">
        <v>2390</v>
      </c>
      <c r="B1253" s="6" t="s">
        <v>2391</v>
      </c>
      <c r="C1253" s="6">
        <f t="shared" si="1"/>
        <v>6162</v>
      </c>
      <c r="D1253" s="6">
        <f>RANDBETWEEN(0, 350)</f>
        <v>138</v>
      </c>
      <c r="E1253" s="7">
        <v>0.0</v>
      </c>
      <c r="F1253" s="8"/>
      <c r="G1253" s="6">
        <f t="shared" si="3"/>
        <v>5001</v>
      </c>
      <c r="H1253" s="6">
        <f t="shared" si="4"/>
        <v>12157</v>
      </c>
      <c r="I1253" s="6">
        <f t="shared" si="5"/>
        <v>28233</v>
      </c>
      <c r="J1253" s="6">
        <f t="shared" si="6"/>
        <v>96777</v>
      </c>
      <c r="K1253" s="9"/>
      <c r="L1253" s="9"/>
      <c r="M1253" s="9"/>
      <c r="N1253" s="9">
        <f t="shared" si="7"/>
        <v>15.70545278</v>
      </c>
      <c r="O1253" s="10">
        <f t="shared" si="8"/>
        <v>36.96460708</v>
      </c>
      <c r="P1253" s="9">
        <v>15.0</v>
      </c>
      <c r="Q1253" s="11" t="str">
        <f t="shared" si="9"/>
        <v>cobertura correcta</v>
      </c>
      <c r="R1253" s="12"/>
      <c r="S1253" s="8"/>
      <c r="T1253" s="12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ht="15.75" customHeight="1">
      <c r="A1254" s="5" t="s">
        <v>2392</v>
      </c>
      <c r="B1254" s="6" t="s">
        <v>2393</v>
      </c>
      <c r="C1254" s="6">
        <f t="shared" si="1"/>
        <v>2951</v>
      </c>
      <c r="D1254" s="7">
        <v>0.0</v>
      </c>
      <c r="E1254" s="7">
        <v>0.0</v>
      </c>
      <c r="F1254" s="8"/>
      <c r="G1254" s="6">
        <f t="shared" si="3"/>
        <v>6669</v>
      </c>
      <c r="H1254" s="6">
        <f t="shared" si="4"/>
        <v>18439</v>
      </c>
      <c r="I1254" s="6">
        <f t="shared" si="5"/>
        <v>20040</v>
      </c>
      <c r="J1254" s="6">
        <f t="shared" si="6"/>
        <v>89150</v>
      </c>
      <c r="K1254" s="9"/>
      <c r="L1254" s="9"/>
      <c r="M1254" s="9"/>
      <c r="N1254" s="9">
        <f t="shared" si="7"/>
        <v>30.21009827</v>
      </c>
      <c r="O1254" s="10">
        <f t="shared" si="8"/>
        <v>13.2748538</v>
      </c>
      <c r="P1254" s="9">
        <v>15.0</v>
      </c>
      <c r="Q1254" s="11" t="str">
        <f t="shared" si="9"/>
        <v>¡Compra YA!</v>
      </c>
      <c r="R1254" s="12"/>
      <c r="S1254" s="8"/>
      <c r="T1254" s="12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ht="15.75" customHeight="1">
      <c r="A1255" s="5" t="s">
        <v>2394</v>
      </c>
      <c r="B1255" s="6" t="s">
        <v>2395</v>
      </c>
      <c r="C1255" s="6">
        <f t="shared" si="1"/>
        <v>1450</v>
      </c>
      <c r="D1255" s="7" t="s">
        <v>2396</v>
      </c>
      <c r="E1255" s="7">
        <v>0.0</v>
      </c>
      <c r="F1255" s="8"/>
      <c r="G1255" s="6">
        <f t="shared" si="3"/>
        <v>2992</v>
      </c>
      <c r="H1255" s="6">
        <f t="shared" si="4"/>
        <v>16522</v>
      </c>
      <c r="I1255" s="6">
        <f t="shared" si="5"/>
        <v>25194</v>
      </c>
      <c r="J1255" s="6">
        <f t="shared" si="6"/>
        <v>29529</v>
      </c>
      <c r="K1255" s="9"/>
      <c r="L1255" s="9"/>
      <c r="M1255" s="9"/>
      <c r="N1255" s="9">
        <f t="shared" si="7"/>
        <v>20.36482759</v>
      </c>
      <c r="O1255" s="10">
        <f t="shared" si="8"/>
        <v>14.53877005</v>
      </c>
      <c r="P1255" s="9">
        <v>15.0</v>
      </c>
      <c r="Q1255" s="11" t="str">
        <f t="shared" si="9"/>
        <v>¡Compra YA!</v>
      </c>
      <c r="R1255" s="12"/>
      <c r="S1255" s="8"/>
      <c r="T1255" s="12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ht="15.75" customHeight="1">
      <c r="A1256" s="5" t="s">
        <v>2397</v>
      </c>
      <c r="B1256" s="6" t="s">
        <v>2398</v>
      </c>
      <c r="C1256" s="6">
        <f t="shared" si="1"/>
        <v>6929</v>
      </c>
      <c r="D1256" s="7">
        <v>0.0</v>
      </c>
      <c r="E1256" s="7">
        <v>0.0</v>
      </c>
      <c r="F1256" s="8"/>
      <c r="G1256" s="6">
        <f t="shared" si="3"/>
        <v>2360</v>
      </c>
      <c r="H1256" s="6">
        <f t="shared" si="4"/>
        <v>18295</v>
      </c>
      <c r="I1256" s="6">
        <f t="shared" si="5"/>
        <v>23026</v>
      </c>
      <c r="J1256" s="6">
        <f t="shared" si="6"/>
        <v>59544</v>
      </c>
      <c r="K1256" s="9"/>
      <c r="L1256" s="9"/>
      <c r="M1256" s="9"/>
      <c r="N1256" s="9">
        <f t="shared" si="7"/>
        <v>8.593447828</v>
      </c>
      <c r="O1256" s="10">
        <f t="shared" si="8"/>
        <v>88.08050847</v>
      </c>
      <c r="P1256" s="9">
        <v>15.0</v>
      </c>
      <c r="Q1256" s="11" t="str">
        <f t="shared" si="9"/>
        <v>cobertura correcta</v>
      </c>
      <c r="R1256" s="12"/>
      <c r="S1256" s="8"/>
      <c r="T1256" s="12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ht="15.75" customHeight="1">
      <c r="A1257" s="5" t="s">
        <v>2399</v>
      </c>
      <c r="B1257" s="6" t="s">
        <v>2400</v>
      </c>
      <c r="C1257" s="6">
        <f t="shared" si="1"/>
        <v>7559</v>
      </c>
      <c r="D1257" s="7">
        <v>0.0</v>
      </c>
      <c r="E1257" s="7">
        <v>0.0</v>
      </c>
      <c r="F1257" s="8"/>
      <c r="G1257" s="6">
        <f t="shared" si="3"/>
        <v>5079</v>
      </c>
      <c r="H1257" s="6">
        <f t="shared" si="4"/>
        <v>16857</v>
      </c>
      <c r="I1257" s="6">
        <f t="shared" si="5"/>
        <v>19544</v>
      </c>
      <c r="J1257" s="6">
        <f t="shared" si="6"/>
        <v>31108</v>
      </c>
      <c r="K1257" s="9"/>
      <c r="L1257" s="9"/>
      <c r="M1257" s="9"/>
      <c r="N1257" s="9">
        <f t="shared" si="7"/>
        <v>4.115359174</v>
      </c>
      <c r="O1257" s="10">
        <f t="shared" si="8"/>
        <v>44.64855286</v>
      </c>
      <c r="P1257" s="9">
        <v>30.0</v>
      </c>
      <c r="Q1257" s="11" t="str">
        <f t="shared" si="9"/>
        <v>cobertura correcta</v>
      </c>
      <c r="R1257" s="12"/>
      <c r="S1257" s="8"/>
      <c r="T1257" s="12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ht="15.75" customHeight="1">
      <c r="A1258" s="5" t="s">
        <v>2401</v>
      </c>
      <c r="B1258" s="6" t="s">
        <v>2402</v>
      </c>
      <c r="C1258" s="6">
        <f t="shared" si="1"/>
        <v>5247</v>
      </c>
      <c r="D1258" s="7">
        <v>0.0</v>
      </c>
      <c r="E1258" s="7">
        <v>0.0</v>
      </c>
      <c r="F1258" s="8"/>
      <c r="G1258" s="6">
        <f t="shared" si="3"/>
        <v>5737</v>
      </c>
      <c r="H1258" s="6">
        <f t="shared" si="4"/>
        <v>16775</v>
      </c>
      <c r="I1258" s="6">
        <f t="shared" si="5"/>
        <v>19280</v>
      </c>
      <c r="J1258" s="6">
        <f t="shared" si="6"/>
        <v>51524</v>
      </c>
      <c r="K1258" s="9"/>
      <c r="L1258" s="9"/>
      <c r="M1258" s="9"/>
      <c r="N1258" s="9">
        <f t="shared" si="7"/>
        <v>9.819706499</v>
      </c>
      <c r="O1258" s="10">
        <f t="shared" si="8"/>
        <v>27.4376852</v>
      </c>
      <c r="P1258" s="9">
        <v>15.0</v>
      </c>
      <c r="Q1258" s="11" t="str">
        <f t="shared" si="9"/>
        <v>cobertura correcta</v>
      </c>
      <c r="R1258" s="12"/>
      <c r="S1258" s="8"/>
      <c r="T1258" s="12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ht="15.75" customHeight="1">
      <c r="A1259" s="5" t="s">
        <v>2403</v>
      </c>
      <c r="B1259" s="6" t="s">
        <v>2404</v>
      </c>
      <c r="C1259" s="6">
        <f t="shared" si="1"/>
        <v>6956</v>
      </c>
      <c r="D1259" s="6">
        <f>RANDBETWEEN(0, 50)</f>
        <v>9</v>
      </c>
      <c r="E1259" s="7">
        <v>0.0</v>
      </c>
      <c r="F1259" s="8"/>
      <c r="G1259" s="6">
        <f t="shared" si="3"/>
        <v>8849</v>
      </c>
      <c r="H1259" s="6">
        <f t="shared" si="4"/>
        <v>14865</v>
      </c>
      <c r="I1259" s="6">
        <f t="shared" si="5"/>
        <v>22242</v>
      </c>
      <c r="J1259" s="6">
        <f t="shared" si="6"/>
        <v>73472</v>
      </c>
      <c r="K1259" s="9"/>
      <c r="L1259" s="9"/>
      <c r="M1259" s="9"/>
      <c r="N1259" s="9">
        <f t="shared" si="7"/>
        <v>10.56239218</v>
      </c>
      <c r="O1259" s="10">
        <f t="shared" si="8"/>
        <v>23.58232569</v>
      </c>
      <c r="P1259" s="9">
        <v>15.0</v>
      </c>
      <c r="Q1259" s="11" t="str">
        <f t="shared" si="9"/>
        <v>cobertura correcta</v>
      </c>
      <c r="R1259" s="12"/>
      <c r="S1259" s="8"/>
      <c r="T1259" s="12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ht="15.75" customHeight="1">
      <c r="A1260" s="5" t="s">
        <v>2405</v>
      </c>
      <c r="B1260" s="6" t="s">
        <v>2406</v>
      </c>
      <c r="C1260" s="6">
        <f t="shared" si="1"/>
        <v>3596</v>
      </c>
      <c r="D1260" s="6">
        <f>RANDBETWEEN(0, 350)</f>
        <v>217</v>
      </c>
      <c r="E1260" s="7">
        <v>0.0</v>
      </c>
      <c r="F1260" s="8"/>
      <c r="G1260" s="6">
        <f t="shared" si="3"/>
        <v>7367</v>
      </c>
      <c r="H1260" s="6">
        <f t="shared" si="4"/>
        <v>9458</v>
      </c>
      <c r="I1260" s="6">
        <f t="shared" si="5"/>
        <v>27205</v>
      </c>
      <c r="J1260" s="6">
        <f t="shared" si="6"/>
        <v>79782</v>
      </c>
      <c r="K1260" s="9"/>
      <c r="L1260" s="9"/>
      <c r="M1260" s="9"/>
      <c r="N1260" s="9">
        <f t="shared" si="7"/>
        <v>22.18631813</v>
      </c>
      <c r="O1260" s="10">
        <f t="shared" si="8"/>
        <v>14.64368128</v>
      </c>
      <c r="P1260" s="9">
        <v>15.0</v>
      </c>
      <c r="Q1260" s="11" t="str">
        <f t="shared" si="9"/>
        <v>¡Compra YA!</v>
      </c>
      <c r="R1260" s="12"/>
      <c r="S1260" s="8"/>
      <c r="T1260" s="12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ht="15.75" customHeight="1">
      <c r="A1261" s="5" t="s">
        <v>2407</v>
      </c>
      <c r="B1261" s="6" t="s">
        <v>2408</v>
      </c>
      <c r="C1261" s="6">
        <f t="shared" si="1"/>
        <v>8060</v>
      </c>
      <c r="D1261" s="7">
        <v>0.0</v>
      </c>
      <c r="E1261" s="7">
        <v>0.0</v>
      </c>
      <c r="F1261" s="8"/>
      <c r="G1261" s="6">
        <f t="shared" si="3"/>
        <v>6098</v>
      </c>
      <c r="H1261" s="6">
        <f t="shared" si="4"/>
        <v>9932</v>
      </c>
      <c r="I1261" s="6">
        <f t="shared" si="5"/>
        <v>28917</v>
      </c>
      <c r="J1261" s="6">
        <f t="shared" si="6"/>
        <v>57439</v>
      </c>
      <c r="K1261" s="9"/>
      <c r="L1261" s="9"/>
      <c r="M1261" s="9"/>
      <c r="N1261" s="9">
        <f t="shared" si="7"/>
        <v>7.126426799</v>
      </c>
      <c r="O1261" s="10">
        <f t="shared" si="8"/>
        <v>39.65234503</v>
      </c>
      <c r="P1261" s="9">
        <v>15.0</v>
      </c>
      <c r="Q1261" s="11" t="str">
        <f t="shared" si="9"/>
        <v>cobertura correcta</v>
      </c>
      <c r="R1261" s="12"/>
      <c r="S1261" s="8"/>
      <c r="T1261" s="12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ht="15.75" customHeight="1">
      <c r="A1262" s="5" t="s">
        <v>2409</v>
      </c>
      <c r="B1262" s="6" t="s">
        <v>2410</v>
      </c>
      <c r="C1262" s="6">
        <f t="shared" si="1"/>
        <v>4634</v>
      </c>
      <c r="D1262" s="6">
        <f t="shared" ref="D1262:D1263" si="65">RANDBETWEEN(0, 350)</f>
        <v>220</v>
      </c>
      <c r="E1262" s="7">
        <v>0.0</v>
      </c>
      <c r="F1262" s="8"/>
      <c r="G1262" s="6">
        <f t="shared" si="3"/>
        <v>5161</v>
      </c>
      <c r="H1262" s="6">
        <f t="shared" si="4"/>
        <v>10719</v>
      </c>
      <c r="I1262" s="6">
        <f t="shared" si="5"/>
        <v>20404</v>
      </c>
      <c r="J1262" s="6">
        <f t="shared" si="6"/>
        <v>80851</v>
      </c>
      <c r="K1262" s="9"/>
      <c r="L1262" s="9"/>
      <c r="M1262" s="9"/>
      <c r="N1262" s="9">
        <f t="shared" si="7"/>
        <v>17.44734571</v>
      </c>
      <c r="O1262" s="10">
        <f t="shared" si="8"/>
        <v>26.93664019</v>
      </c>
      <c r="P1262" s="9">
        <v>7.0</v>
      </c>
      <c r="Q1262" s="11" t="str">
        <f t="shared" si="9"/>
        <v>cobertura correcta</v>
      </c>
      <c r="R1262" s="12"/>
      <c r="S1262" s="8"/>
      <c r="T1262" s="12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ht="15.75" customHeight="1">
      <c r="A1263" s="5" t="s">
        <v>2411</v>
      </c>
      <c r="B1263" s="6" t="s">
        <v>2412</v>
      </c>
      <c r="C1263" s="6">
        <f t="shared" si="1"/>
        <v>8138</v>
      </c>
      <c r="D1263" s="6">
        <f t="shared" si="65"/>
        <v>347</v>
      </c>
      <c r="E1263" s="7">
        <v>0.0</v>
      </c>
      <c r="F1263" s="8"/>
      <c r="G1263" s="6">
        <f t="shared" si="3"/>
        <v>2779</v>
      </c>
      <c r="H1263" s="6">
        <f t="shared" si="4"/>
        <v>15611</v>
      </c>
      <c r="I1263" s="6">
        <f t="shared" si="5"/>
        <v>21907</v>
      </c>
      <c r="J1263" s="6">
        <f t="shared" si="6"/>
        <v>91956</v>
      </c>
      <c r="K1263" s="9"/>
      <c r="L1263" s="9"/>
      <c r="M1263" s="9"/>
      <c r="N1263" s="9">
        <f t="shared" si="7"/>
        <v>11.29958221</v>
      </c>
      <c r="O1263" s="10">
        <f t="shared" si="8"/>
        <v>87.85174523</v>
      </c>
      <c r="P1263" s="9">
        <v>7.0</v>
      </c>
      <c r="Q1263" s="11" t="str">
        <f t="shared" si="9"/>
        <v>cobertura correcta</v>
      </c>
      <c r="R1263" s="12"/>
      <c r="S1263" s="8"/>
      <c r="T1263" s="12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ht="15.75" customHeight="1">
      <c r="A1264" s="5" t="s">
        <v>2413</v>
      </c>
      <c r="B1264" s="6" t="s">
        <v>2414</v>
      </c>
      <c r="C1264" s="6">
        <f t="shared" si="1"/>
        <v>8279</v>
      </c>
      <c r="D1264" s="7">
        <v>0.0</v>
      </c>
      <c r="E1264" s="7">
        <v>0.0</v>
      </c>
      <c r="F1264" s="8"/>
      <c r="G1264" s="6">
        <f t="shared" si="3"/>
        <v>5484</v>
      </c>
      <c r="H1264" s="6">
        <f t="shared" si="4"/>
        <v>17692</v>
      </c>
      <c r="I1264" s="6">
        <f t="shared" si="5"/>
        <v>22528</v>
      </c>
      <c r="J1264" s="6">
        <f t="shared" si="6"/>
        <v>56006</v>
      </c>
      <c r="K1264" s="9"/>
      <c r="L1264" s="9"/>
      <c r="M1264" s="9"/>
      <c r="N1264" s="9">
        <f t="shared" si="7"/>
        <v>6.76482667</v>
      </c>
      <c r="O1264" s="10">
        <f t="shared" si="8"/>
        <v>45.28993435</v>
      </c>
      <c r="P1264" s="9">
        <v>7.0</v>
      </c>
      <c r="Q1264" s="11" t="str">
        <f t="shared" si="9"/>
        <v>cobertura correcta</v>
      </c>
      <c r="R1264" s="12"/>
      <c r="S1264" s="8"/>
      <c r="T1264" s="12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ht="15.75" customHeight="1">
      <c r="A1265" s="5" t="s">
        <v>2415</v>
      </c>
      <c r="B1265" s="6" t="s">
        <v>2416</v>
      </c>
      <c r="C1265" s="6">
        <f t="shared" si="1"/>
        <v>7825</v>
      </c>
      <c r="D1265" s="6">
        <f>RANDBETWEEN(0, 350)</f>
        <v>185</v>
      </c>
      <c r="E1265" s="7">
        <v>0.0</v>
      </c>
      <c r="F1265" s="8"/>
      <c r="G1265" s="6">
        <f t="shared" si="3"/>
        <v>3389</v>
      </c>
      <c r="H1265" s="6">
        <f t="shared" si="4"/>
        <v>13150</v>
      </c>
      <c r="I1265" s="6">
        <f t="shared" si="5"/>
        <v>19559</v>
      </c>
      <c r="J1265" s="6">
        <f t="shared" si="6"/>
        <v>47516</v>
      </c>
      <c r="K1265" s="9"/>
      <c r="L1265" s="9"/>
      <c r="M1265" s="9"/>
      <c r="N1265" s="9">
        <f t="shared" si="7"/>
        <v>6.072332268</v>
      </c>
      <c r="O1265" s="10">
        <f t="shared" si="8"/>
        <v>69.26822071</v>
      </c>
      <c r="P1265" s="9">
        <v>7.0</v>
      </c>
      <c r="Q1265" s="11" t="str">
        <f t="shared" si="9"/>
        <v>cobertura correcta</v>
      </c>
      <c r="R1265" s="12"/>
      <c r="S1265" s="8"/>
      <c r="T1265" s="12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ht="15.75" customHeight="1">
      <c r="A1266" s="5" t="s">
        <v>2417</v>
      </c>
      <c r="B1266" s="6" t="s">
        <v>2418</v>
      </c>
      <c r="C1266" s="6">
        <f t="shared" si="1"/>
        <v>8047</v>
      </c>
      <c r="D1266" s="7">
        <v>0.0</v>
      </c>
      <c r="E1266" s="7">
        <v>0.0</v>
      </c>
      <c r="F1266" s="8"/>
      <c r="G1266" s="6">
        <f t="shared" si="3"/>
        <v>3864</v>
      </c>
      <c r="H1266" s="6">
        <f t="shared" si="4"/>
        <v>16553</v>
      </c>
      <c r="I1266" s="6">
        <f t="shared" si="5"/>
        <v>26516</v>
      </c>
      <c r="J1266" s="6">
        <f t="shared" si="6"/>
        <v>56605</v>
      </c>
      <c r="K1266" s="9"/>
      <c r="L1266" s="9"/>
      <c r="M1266" s="9"/>
      <c r="N1266" s="9">
        <f t="shared" si="7"/>
        <v>7.034298496</v>
      </c>
      <c r="O1266" s="10">
        <f t="shared" si="8"/>
        <v>62.47670807</v>
      </c>
      <c r="P1266" s="9">
        <v>20.0</v>
      </c>
      <c r="Q1266" s="11" t="str">
        <f t="shared" si="9"/>
        <v>cobertura correcta</v>
      </c>
      <c r="R1266" s="12"/>
      <c r="S1266" s="8"/>
      <c r="T1266" s="12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ht="15.75" customHeight="1">
      <c r="A1267" s="5" t="s">
        <v>2419</v>
      </c>
      <c r="B1267" s="6" t="s">
        <v>2420</v>
      </c>
      <c r="C1267" s="6">
        <f t="shared" si="1"/>
        <v>1267</v>
      </c>
      <c r="D1267" s="6">
        <f t="shared" ref="D1267:D1280" si="66">RANDBETWEEN(0, 350)</f>
        <v>79</v>
      </c>
      <c r="E1267" s="6">
        <f t="shared" ref="E1267:E1268" si="67">RANDBETWEEN(0, 1000)</f>
        <v>792</v>
      </c>
      <c r="F1267" s="8"/>
      <c r="G1267" s="6">
        <f t="shared" si="3"/>
        <v>3605</v>
      </c>
      <c r="H1267" s="6">
        <f t="shared" si="4"/>
        <v>16172</v>
      </c>
      <c r="I1267" s="6">
        <f t="shared" si="5"/>
        <v>25734</v>
      </c>
      <c r="J1267" s="6">
        <f t="shared" si="6"/>
        <v>67469</v>
      </c>
      <c r="K1267" s="9"/>
      <c r="L1267" s="9"/>
      <c r="M1267" s="9"/>
      <c r="N1267" s="9">
        <f t="shared" si="7"/>
        <v>53.25098658</v>
      </c>
      <c r="O1267" s="10">
        <f t="shared" si="8"/>
        <v>10.54368932</v>
      </c>
      <c r="P1267" s="9">
        <v>7.0</v>
      </c>
      <c r="Q1267" s="11" t="str">
        <f t="shared" si="9"/>
        <v>cobertura correcta</v>
      </c>
      <c r="R1267" s="12"/>
      <c r="S1267" s="8"/>
      <c r="T1267" s="12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ht="15.75" customHeight="1">
      <c r="A1268" s="5" t="s">
        <v>2421</v>
      </c>
      <c r="B1268" s="6" t="s">
        <v>2422</v>
      </c>
      <c r="C1268" s="6">
        <f t="shared" si="1"/>
        <v>6646</v>
      </c>
      <c r="D1268" s="6">
        <f t="shared" si="66"/>
        <v>53</v>
      </c>
      <c r="E1268" s="6">
        <f t="shared" si="67"/>
        <v>978</v>
      </c>
      <c r="F1268" s="8"/>
      <c r="G1268" s="6">
        <f t="shared" si="3"/>
        <v>1113</v>
      </c>
      <c r="H1268" s="6">
        <f t="shared" si="4"/>
        <v>17212</v>
      </c>
      <c r="I1268" s="6">
        <f t="shared" si="5"/>
        <v>23480</v>
      </c>
      <c r="J1268" s="6">
        <f t="shared" si="6"/>
        <v>34272</v>
      </c>
      <c r="K1268" s="9"/>
      <c r="L1268" s="9"/>
      <c r="M1268" s="9"/>
      <c r="N1268" s="9">
        <f t="shared" si="7"/>
        <v>5.156786037</v>
      </c>
      <c r="O1268" s="10">
        <f t="shared" si="8"/>
        <v>179.1374663</v>
      </c>
      <c r="P1268" s="9">
        <v>7.0</v>
      </c>
      <c r="Q1268" s="11" t="str">
        <f t="shared" si="9"/>
        <v>cobertura correcta</v>
      </c>
      <c r="R1268" s="12"/>
      <c r="S1268" s="8"/>
      <c r="T1268" s="12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ht="15.75" customHeight="1">
      <c r="A1269" s="5" t="s">
        <v>2423</v>
      </c>
      <c r="B1269" s="6" t="s">
        <v>2424</v>
      </c>
      <c r="C1269" s="6">
        <f t="shared" si="1"/>
        <v>3338</v>
      </c>
      <c r="D1269" s="6">
        <f t="shared" si="66"/>
        <v>140</v>
      </c>
      <c r="E1269" s="7">
        <v>0.0</v>
      </c>
      <c r="F1269" s="8"/>
      <c r="G1269" s="6">
        <f t="shared" si="3"/>
        <v>3124</v>
      </c>
      <c r="H1269" s="6">
        <f t="shared" si="4"/>
        <v>14282</v>
      </c>
      <c r="I1269" s="6">
        <f t="shared" si="5"/>
        <v>20737</v>
      </c>
      <c r="J1269" s="6">
        <f t="shared" si="6"/>
        <v>71302</v>
      </c>
      <c r="K1269" s="9"/>
      <c r="L1269" s="9"/>
      <c r="M1269" s="9"/>
      <c r="N1269" s="9">
        <f t="shared" si="7"/>
        <v>21.36069503</v>
      </c>
      <c r="O1269" s="10">
        <f t="shared" si="8"/>
        <v>32.05505762</v>
      </c>
      <c r="P1269" s="9">
        <v>15.0</v>
      </c>
      <c r="Q1269" s="11" t="str">
        <f t="shared" si="9"/>
        <v>cobertura correcta</v>
      </c>
      <c r="R1269" s="12"/>
      <c r="S1269" s="8"/>
      <c r="T1269" s="12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ht="15.75" customHeight="1">
      <c r="A1270" s="5" t="s">
        <v>2425</v>
      </c>
      <c r="B1270" s="6" t="s">
        <v>2426</v>
      </c>
      <c r="C1270" s="6">
        <f t="shared" si="1"/>
        <v>2003</v>
      </c>
      <c r="D1270" s="6">
        <f t="shared" si="66"/>
        <v>132</v>
      </c>
      <c r="E1270" s="7">
        <v>0.0</v>
      </c>
      <c r="F1270" s="8"/>
      <c r="G1270" s="6">
        <f t="shared" si="3"/>
        <v>1874</v>
      </c>
      <c r="H1270" s="6">
        <f t="shared" si="4"/>
        <v>12566</v>
      </c>
      <c r="I1270" s="6">
        <f t="shared" si="5"/>
        <v>25898</v>
      </c>
      <c r="J1270" s="6">
        <f t="shared" si="6"/>
        <v>29902</v>
      </c>
      <c r="K1270" s="9"/>
      <c r="L1270" s="9"/>
      <c r="M1270" s="9"/>
      <c r="N1270" s="9">
        <f t="shared" si="7"/>
        <v>14.92860709</v>
      </c>
      <c r="O1270" s="10">
        <f t="shared" si="8"/>
        <v>32.06510139</v>
      </c>
      <c r="P1270" s="9">
        <v>15.0</v>
      </c>
      <c r="Q1270" s="11" t="str">
        <f t="shared" si="9"/>
        <v>cobertura correcta</v>
      </c>
      <c r="R1270" s="12"/>
      <c r="S1270" s="8"/>
      <c r="T1270" s="12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ht="15.75" customHeight="1">
      <c r="A1271" s="5" t="s">
        <v>2427</v>
      </c>
      <c r="B1271" s="6"/>
      <c r="C1271" s="6">
        <f t="shared" si="1"/>
        <v>8479</v>
      </c>
      <c r="D1271" s="6">
        <f t="shared" si="66"/>
        <v>278</v>
      </c>
      <c r="E1271" s="7">
        <v>0.0</v>
      </c>
      <c r="F1271" s="8"/>
      <c r="G1271" s="6">
        <f t="shared" si="3"/>
        <v>7116</v>
      </c>
      <c r="H1271" s="6">
        <f t="shared" si="4"/>
        <v>16319</v>
      </c>
      <c r="I1271" s="6">
        <f t="shared" si="5"/>
        <v>20240</v>
      </c>
      <c r="J1271" s="6">
        <f t="shared" si="6"/>
        <v>57867</v>
      </c>
      <c r="K1271" s="9"/>
      <c r="L1271" s="9"/>
      <c r="M1271" s="9"/>
      <c r="N1271" s="9">
        <f t="shared" si="7"/>
        <v>6.824743484</v>
      </c>
      <c r="O1271" s="10">
        <f t="shared" si="8"/>
        <v>35.74620573</v>
      </c>
      <c r="P1271" s="9">
        <v>7.0</v>
      </c>
      <c r="Q1271" s="11" t="str">
        <f t="shared" si="9"/>
        <v>cobertura correcta</v>
      </c>
      <c r="R1271" s="12"/>
      <c r="S1271" s="8"/>
      <c r="T1271" s="12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ht="15.75" customHeight="1">
      <c r="A1272" s="5" t="s">
        <v>2428</v>
      </c>
      <c r="B1272" s="6"/>
      <c r="C1272" s="6">
        <f t="shared" si="1"/>
        <v>6757</v>
      </c>
      <c r="D1272" s="6">
        <f t="shared" si="66"/>
        <v>85</v>
      </c>
      <c r="E1272" s="7">
        <v>0.0</v>
      </c>
      <c r="F1272" s="8"/>
      <c r="G1272" s="6">
        <f t="shared" si="3"/>
        <v>4890</v>
      </c>
      <c r="H1272" s="6">
        <f t="shared" si="4"/>
        <v>17683</v>
      </c>
      <c r="I1272" s="6">
        <f t="shared" si="5"/>
        <v>27756</v>
      </c>
      <c r="J1272" s="6">
        <f t="shared" si="6"/>
        <v>61796</v>
      </c>
      <c r="K1272" s="9"/>
      <c r="L1272" s="9"/>
      <c r="M1272" s="9"/>
      <c r="N1272" s="9">
        <f t="shared" si="7"/>
        <v>9.145478763</v>
      </c>
      <c r="O1272" s="10">
        <f t="shared" si="8"/>
        <v>41.45398773</v>
      </c>
      <c r="P1272" s="9">
        <v>20.0</v>
      </c>
      <c r="Q1272" s="11" t="str">
        <f t="shared" si="9"/>
        <v>cobertura correcta</v>
      </c>
      <c r="R1272" s="12"/>
      <c r="S1272" s="8"/>
      <c r="T1272" s="12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ht="15.75" customHeight="1">
      <c r="A1273" s="5" t="s">
        <v>2429</v>
      </c>
      <c r="B1273" s="6" t="s">
        <v>2430</v>
      </c>
      <c r="C1273" s="6">
        <f t="shared" si="1"/>
        <v>8605</v>
      </c>
      <c r="D1273" s="6">
        <f t="shared" si="66"/>
        <v>181</v>
      </c>
      <c r="E1273" s="7">
        <v>0.0</v>
      </c>
      <c r="F1273" s="8"/>
      <c r="G1273" s="6">
        <f t="shared" si="3"/>
        <v>4463</v>
      </c>
      <c r="H1273" s="6">
        <f t="shared" si="4"/>
        <v>16706</v>
      </c>
      <c r="I1273" s="6">
        <f t="shared" si="5"/>
        <v>21521</v>
      </c>
      <c r="J1273" s="6">
        <f t="shared" si="6"/>
        <v>61515</v>
      </c>
      <c r="K1273" s="9"/>
      <c r="L1273" s="9"/>
      <c r="M1273" s="9"/>
      <c r="N1273" s="9">
        <f t="shared" si="7"/>
        <v>7.148750726</v>
      </c>
      <c r="O1273" s="10">
        <f t="shared" si="8"/>
        <v>57.84225857</v>
      </c>
      <c r="P1273" s="9">
        <v>7.0</v>
      </c>
      <c r="Q1273" s="11" t="str">
        <f t="shared" si="9"/>
        <v>cobertura correcta</v>
      </c>
      <c r="R1273" s="12"/>
      <c r="S1273" s="8"/>
      <c r="T1273" s="12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ht="15.75" customHeight="1">
      <c r="A1274" s="5" t="s">
        <v>2431</v>
      </c>
      <c r="B1274" s="6" t="s">
        <v>2432</v>
      </c>
      <c r="C1274" s="6">
        <f t="shared" si="1"/>
        <v>7757</v>
      </c>
      <c r="D1274" s="6">
        <f t="shared" si="66"/>
        <v>195</v>
      </c>
      <c r="E1274" s="7">
        <v>0.0</v>
      </c>
      <c r="F1274" s="8"/>
      <c r="G1274" s="6">
        <f t="shared" si="3"/>
        <v>3933</v>
      </c>
      <c r="H1274" s="6">
        <f t="shared" si="4"/>
        <v>10070</v>
      </c>
      <c r="I1274" s="6">
        <f t="shared" si="5"/>
        <v>23927</v>
      </c>
      <c r="J1274" s="6">
        <f t="shared" si="6"/>
        <v>44480</v>
      </c>
      <c r="K1274" s="9"/>
      <c r="L1274" s="9"/>
      <c r="M1274" s="9"/>
      <c r="N1274" s="9">
        <f t="shared" si="7"/>
        <v>5.734175583</v>
      </c>
      <c r="O1274" s="10">
        <f t="shared" si="8"/>
        <v>59.16857361</v>
      </c>
      <c r="P1274" s="9">
        <v>7.0</v>
      </c>
      <c r="Q1274" s="11" t="str">
        <f t="shared" si="9"/>
        <v>cobertura correcta</v>
      </c>
      <c r="R1274" s="12"/>
      <c r="S1274" s="8"/>
      <c r="T1274" s="12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ht="15.75" customHeight="1">
      <c r="A1275" s="5" t="s">
        <v>2433</v>
      </c>
      <c r="B1275" s="6" t="s">
        <v>2434</v>
      </c>
      <c r="C1275" s="6">
        <f t="shared" si="1"/>
        <v>8149</v>
      </c>
      <c r="D1275" s="6">
        <f t="shared" si="66"/>
        <v>292</v>
      </c>
      <c r="E1275" s="7">
        <v>0.0</v>
      </c>
      <c r="F1275" s="8"/>
      <c r="G1275" s="6">
        <f t="shared" si="3"/>
        <v>6054</v>
      </c>
      <c r="H1275" s="6">
        <f t="shared" si="4"/>
        <v>18570</v>
      </c>
      <c r="I1275" s="6">
        <f t="shared" si="5"/>
        <v>20314</v>
      </c>
      <c r="J1275" s="6">
        <f t="shared" si="6"/>
        <v>44712</v>
      </c>
      <c r="K1275" s="9"/>
      <c r="L1275" s="9"/>
      <c r="M1275" s="9"/>
      <c r="N1275" s="9">
        <f t="shared" si="7"/>
        <v>5.486808197</v>
      </c>
      <c r="O1275" s="10">
        <f t="shared" si="8"/>
        <v>40.38156591</v>
      </c>
      <c r="P1275" s="9">
        <v>7.0</v>
      </c>
      <c r="Q1275" s="11" t="str">
        <f t="shared" si="9"/>
        <v>cobertura correcta</v>
      </c>
      <c r="R1275" s="12"/>
      <c r="S1275" s="8"/>
      <c r="T1275" s="12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ht="15.75" customHeight="1">
      <c r="A1276" s="5" t="s">
        <v>2435</v>
      </c>
      <c r="B1276" s="6" t="s">
        <v>2436</v>
      </c>
      <c r="C1276" s="6">
        <f t="shared" si="1"/>
        <v>1806</v>
      </c>
      <c r="D1276" s="6">
        <f t="shared" si="66"/>
        <v>311</v>
      </c>
      <c r="E1276" s="7">
        <v>0.0</v>
      </c>
      <c r="F1276" s="8"/>
      <c r="G1276" s="6">
        <f t="shared" si="3"/>
        <v>1156</v>
      </c>
      <c r="H1276" s="6">
        <f t="shared" si="4"/>
        <v>10577</v>
      </c>
      <c r="I1276" s="6">
        <f t="shared" si="5"/>
        <v>19540</v>
      </c>
      <c r="J1276" s="6">
        <f t="shared" si="6"/>
        <v>61566</v>
      </c>
      <c r="K1276" s="9"/>
      <c r="L1276" s="9"/>
      <c r="M1276" s="9"/>
      <c r="N1276" s="9">
        <f t="shared" si="7"/>
        <v>34.089701</v>
      </c>
      <c r="O1276" s="10">
        <f t="shared" si="8"/>
        <v>46.86851211</v>
      </c>
      <c r="P1276" s="9">
        <v>20.0</v>
      </c>
      <c r="Q1276" s="11" t="str">
        <f t="shared" si="9"/>
        <v>cobertura correcta</v>
      </c>
      <c r="R1276" s="12"/>
      <c r="S1276" s="8"/>
      <c r="T1276" s="12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ht="15.75" customHeight="1">
      <c r="A1277" s="5" t="s">
        <v>2437</v>
      </c>
      <c r="B1277" s="6" t="s">
        <v>2438</v>
      </c>
      <c r="C1277" s="6">
        <f t="shared" si="1"/>
        <v>8080</v>
      </c>
      <c r="D1277" s="6">
        <f t="shared" si="66"/>
        <v>192</v>
      </c>
      <c r="E1277" s="7">
        <v>0.0</v>
      </c>
      <c r="F1277" s="8"/>
      <c r="G1277" s="6">
        <f t="shared" si="3"/>
        <v>2906</v>
      </c>
      <c r="H1277" s="6">
        <f t="shared" si="4"/>
        <v>12095</v>
      </c>
      <c r="I1277" s="6">
        <f t="shared" si="5"/>
        <v>25977</v>
      </c>
      <c r="J1277" s="6">
        <f t="shared" si="6"/>
        <v>85764</v>
      </c>
      <c r="K1277" s="9"/>
      <c r="L1277" s="9"/>
      <c r="M1277" s="9"/>
      <c r="N1277" s="9">
        <f t="shared" si="7"/>
        <v>10.61435644</v>
      </c>
      <c r="O1277" s="10">
        <f t="shared" si="8"/>
        <v>83.41362698</v>
      </c>
      <c r="P1277" s="9">
        <v>7.0</v>
      </c>
      <c r="Q1277" s="11" t="str">
        <f t="shared" si="9"/>
        <v>cobertura correcta</v>
      </c>
      <c r="R1277" s="12"/>
      <c r="S1277" s="8"/>
      <c r="T1277" s="12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ht="15.75" customHeight="1">
      <c r="A1278" s="5" t="s">
        <v>2439</v>
      </c>
      <c r="B1278" s="6" t="s">
        <v>2440</v>
      </c>
      <c r="C1278" s="6">
        <f t="shared" si="1"/>
        <v>6611</v>
      </c>
      <c r="D1278" s="6">
        <f t="shared" si="66"/>
        <v>245</v>
      </c>
      <c r="E1278" s="7">
        <v>0.0</v>
      </c>
      <c r="F1278" s="8"/>
      <c r="G1278" s="6">
        <f t="shared" si="3"/>
        <v>4139</v>
      </c>
      <c r="H1278" s="6">
        <f t="shared" si="4"/>
        <v>11875</v>
      </c>
      <c r="I1278" s="6">
        <f t="shared" si="5"/>
        <v>22211</v>
      </c>
      <c r="J1278" s="6">
        <f t="shared" si="6"/>
        <v>87000</v>
      </c>
      <c r="K1278" s="9"/>
      <c r="L1278" s="9"/>
      <c r="M1278" s="9"/>
      <c r="N1278" s="9">
        <f t="shared" si="7"/>
        <v>13.15988504</v>
      </c>
      <c r="O1278" s="10">
        <f t="shared" si="8"/>
        <v>47.91737135</v>
      </c>
      <c r="P1278" s="9">
        <v>7.0</v>
      </c>
      <c r="Q1278" s="11" t="str">
        <f t="shared" si="9"/>
        <v>cobertura correcta</v>
      </c>
      <c r="R1278" s="12"/>
      <c r="S1278" s="8"/>
      <c r="T1278" s="12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ht="15.75" customHeight="1">
      <c r="A1279" s="5" t="s">
        <v>2441</v>
      </c>
      <c r="B1279" s="6" t="s">
        <v>2442</v>
      </c>
      <c r="C1279" s="6">
        <f t="shared" si="1"/>
        <v>6803</v>
      </c>
      <c r="D1279" s="6">
        <f t="shared" si="66"/>
        <v>26</v>
      </c>
      <c r="E1279" s="7">
        <v>0.0</v>
      </c>
      <c r="F1279" s="8"/>
      <c r="G1279" s="6">
        <f t="shared" si="3"/>
        <v>5248</v>
      </c>
      <c r="H1279" s="6">
        <f t="shared" si="4"/>
        <v>15170</v>
      </c>
      <c r="I1279" s="6">
        <f t="shared" si="5"/>
        <v>25375</v>
      </c>
      <c r="J1279" s="6">
        <f t="shared" si="6"/>
        <v>40015</v>
      </c>
      <c r="K1279" s="9"/>
      <c r="L1279" s="9"/>
      <c r="M1279" s="9"/>
      <c r="N1279" s="9">
        <f t="shared" si="7"/>
        <v>5.881963839</v>
      </c>
      <c r="O1279" s="10">
        <f t="shared" si="8"/>
        <v>38.88910061</v>
      </c>
      <c r="P1279" s="9">
        <v>7.0</v>
      </c>
      <c r="Q1279" s="11" t="str">
        <f t="shared" si="9"/>
        <v>cobertura correcta</v>
      </c>
      <c r="R1279" s="12"/>
      <c r="S1279" s="8"/>
      <c r="T1279" s="12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ht="15.75" customHeight="1">
      <c r="A1280" s="5" t="s">
        <v>2443</v>
      </c>
      <c r="B1280" s="6" t="s">
        <v>2444</v>
      </c>
      <c r="C1280" s="6">
        <f t="shared" si="1"/>
        <v>3548</v>
      </c>
      <c r="D1280" s="6">
        <f t="shared" si="66"/>
        <v>284</v>
      </c>
      <c r="E1280" s="7">
        <v>0.0</v>
      </c>
      <c r="F1280" s="8"/>
      <c r="G1280" s="6">
        <f t="shared" si="3"/>
        <v>1148</v>
      </c>
      <c r="H1280" s="6">
        <f t="shared" si="4"/>
        <v>17911</v>
      </c>
      <c r="I1280" s="6">
        <f t="shared" si="5"/>
        <v>19582</v>
      </c>
      <c r="J1280" s="6">
        <f t="shared" si="6"/>
        <v>78340</v>
      </c>
      <c r="K1280" s="9"/>
      <c r="L1280" s="9"/>
      <c r="M1280" s="9"/>
      <c r="N1280" s="9">
        <f t="shared" si="7"/>
        <v>22.0800451</v>
      </c>
      <c r="O1280" s="10">
        <f t="shared" si="8"/>
        <v>92.71777003</v>
      </c>
      <c r="P1280" s="9">
        <v>7.0</v>
      </c>
      <c r="Q1280" s="11" t="str">
        <f t="shared" si="9"/>
        <v>cobertura correcta</v>
      </c>
      <c r="R1280" s="12"/>
      <c r="S1280" s="8"/>
      <c r="T1280" s="12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ht="15.75" customHeight="1">
      <c r="A1281" s="5" t="s">
        <v>2445</v>
      </c>
      <c r="B1281" s="6" t="s">
        <v>2446</v>
      </c>
      <c r="C1281" s="6">
        <f t="shared" si="1"/>
        <v>2884</v>
      </c>
      <c r="D1281" s="7">
        <v>0.0</v>
      </c>
      <c r="E1281" s="7">
        <v>0.0</v>
      </c>
      <c r="F1281" s="8"/>
      <c r="G1281" s="6">
        <f t="shared" si="3"/>
        <v>7185</v>
      </c>
      <c r="H1281" s="6">
        <f t="shared" si="4"/>
        <v>9527</v>
      </c>
      <c r="I1281" s="6">
        <f t="shared" si="5"/>
        <v>25261</v>
      </c>
      <c r="J1281" s="6">
        <f t="shared" si="6"/>
        <v>47103</v>
      </c>
      <c r="K1281" s="9"/>
      <c r="L1281" s="9"/>
      <c r="M1281" s="9"/>
      <c r="N1281" s="9">
        <f t="shared" si="7"/>
        <v>16.33252427</v>
      </c>
      <c r="O1281" s="10">
        <f t="shared" si="8"/>
        <v>12.04175365</v>
      </c>
      <c r="P1281" s="9">
        <v>7.0</v>
      </c>
      <c r="Q1281" s="11" t="str">
        <f t="shared" si="9"/>
        <v>cobertura correcta</v>
      </c>
      <c r="R1281" s="12"/>
      <c r="S1281" s="8"/>
      <c r="T1281" s="12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ht="15.75" customHeight="1">
      <c r="A1282" s="5" t="s">
        <v>2447</v>
      </c>
      <c r="B1282" s="6" t="s">
        <v>2448</v>
      </c>
      <c r="C1282" s="6">
        <f t="shared" si="1"/>
        <v>3520</v>
      </c>
      <c r="D1282" s="7">
        <v>0.0</v>
      </c>
      <c r="E1282" s="7">
        <v>0.0</v>
      </c>
      <c r="F1282" s="8"/>
      <c r="G1282" s="6">
        <f t="shared" si="3"/>
        <v>4944</v>
      </c>
      <c r="H1282" s="6">
        <f t="shared" si="4"/>
        <v>18868</v>
      </c>
      <c r="I1282" s="6">
        <f t="shared" si="5"/>
        <v>27826</v>
      </c>
      <c r="J1282" s="6">
        <f t="shared" si="6"/>
        <v>90322</v>
      </c>
      <c r="K1282" s="9"/>
      <c r="L1282" s="9"/>
      <c r="M1282" s="9"/>
      <c r="N1282" s="9">
        <f t="shared" si="7"/>
        <v>25.65965909</v>
      </c>
      <c r="O1282" s="10">
        <f t="shared" si="8"/>
        <v>21.3592233</v>
      </c>
      <c r="P1282" s="9">
        <v>7.0</v>
      </c>
      <c r="Q1282" s="11" t="str">
        <f t="shared" si="9"/>
        <v>cobertura correcta</v>
      </c>
      <c r="R1282" s="12"/>
      <c r="S1282" s="8"/>
      <c r="T1282" s="12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ht="15.75" customHeight="1">
      <c r="A1283" s="5" t="s">
        <v>2449</v>
      </c>
      <c r="B1283" s="6" t="s">
        <v>2450</v>
      </c>
      <c r="C1283" s="6">
        <f t="shared" si="1"/>
        <v>2956</v>
      </c>
      <c r="D1283" s="6">
        <f t="shared" ref="D1283:D1291" si="68">RANDBETWEEN(0, 350)</f>
        <v>21</v>
      </c>
      <c r="E1283" s="7">
        <v>0.0</v>
      </c>
      <c r="F1283" s="8"/>
      <c r="G1283" s="6">
        <f t="shared" si="3"/>
        <v>5769</v>
      </c>
      <c r="H1283" s="6">
        <f t="shared" si="4"/>
        <v>9951</v>
      </c>
      <c r="I1283" s="6">
        <f t="shared" si="5"/>
        <v>20851</v>
      </c>
      <c r="J1283" s="6">
        <f t="shared" si="6"/>
        <v>81752</v>
      </c>
      <c r="K1283" s="9"/>
      <c r="L1283" s="9"/>
      <c r="M1283" s="9"/>
      <c r="N1283" s="9">
        <f t="shared" si="7"/>
        <v>27.65629229</v>
      </c>
      <c r="O1283" s="10">
        <f t="shared" si="8"/>
        <v>15.37181487</v>
      </c>
      <c r="P1283" s="9">
        <v>30.0</v>
      </c>
      <c r="Q1283" s="11" t="str">
        <f t="shared" si="9"/>
        <v>¡Compra YA!</v>
      </c>
      <c r="R1283" s="12"/>
      <c r="S1283" s="8"/>
      <c r="T1283" s="12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ht="15.75" customHeight="1">
      <c r="A1284" s="5" t="s">
        <v>2451</v>
      </c>
      <c r="B1284" s="6" t="s">
        <v>2452</v>
      </c>
      <c r="C1284" s="6">
        <f t="shared" si="1"/>
        <v>3883</v>
      </c>
      <c r="D1284" s="6">
        <f t="shared" si="68"/>
        <v>200</v>
      </c>
      <c r="E1284" s="7">
        <v>0.0</v>
      </c>
      <c r="F1284" s="8"/>
      <c r="G1284" s="6">
        <f t="shared" si="3"/>
        <v>4039</v>
      </c>
      <c r="H1284" s="6">
        <f t="shared" si="4"/>
        <v>15840</v>
      </c>
      <c r="I1284" s="6">
        <f t="shared" si="5"/>
        <v>24159</v>
      </c>
      <c r="J1284" s="6">
        <f t="shared" si="6"/>
        <v>89468</v>
      </c>
      <c r="K1284" s="9"/>
      <c r="L1284" s="9"/>
      <c r="M1284" s="9"/>
      <c r="N1284" s="9">
        <f t="shared" si="7"/>
        <v>23.04094772</v>
      </c>
      <c r="O1284" s="10">
        <f t="shared" si="8"/>
        <v>28.84129735</v>
      </c>
      <c r="P1284" s="9">
        <v>7.0</v>
      </c>
      <c r="Q1284" s="11" t="str">
        <f t="shared" si="9"/>
        <v>cobertura correcta</v>
      </c>
      <c r="R1284" s="12"/>
      <c r="S1284" s="8"/>
      <c r="T1284" s="12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ht="15.75" customHeight="1">
      <c r="A1285" s="5" t="s">
        <v>2453</v>
      </c>
      <c r="B1285" s="6" t="s">
        <v>2454</v>
      </c>
      <c r="C1285" s="6">
        <f t="shared" si="1"/>
        <v>1880</v>
      </c>
      <c r="D1285" s="6">
        <f t="shared" si="68"/>
        <v>310</v>
      </c>
      <c r="E1285" s="7">
        <v>0.0</v>
      </c>
      <c r="F1285" s="8"/>
      <c r="G1285" s="6">
        <f t="shared" si="3"/>
        <v>4943</v>
      </c>
      <c r="H1285" s="6">
        <f t="shared" si="4"/>
        <v>17074</v>
      </c>
      <c r="I1285" s="6">
        <f t="shared" si="5"/>
        <v>22201</v>
      </c>
      <c r="J1285" s="6">
        <f t="shared" si="6"/>
        <v>51967</v>
      </c>
      <c r="K1285" s="9"/>
      <c r="L1285" s="9"/>
      <c r="M1285" s="9"/>
      <c r="N1285" s="9">
        <f t="shared" si="7"/>
        <v>27.64202128</v>
      </c>
      <c r="O1285" s="10">
        <f t="shared" si="8"/>
        <v>11.41007485</v>
      </c>
      <c r="P1285" s="9">
        <v>7.0</v>
      </c>
      <c r="Q1285" s="11" t="str">
        <f t="shared" si="9"/>
        <v>cobertura correcta</v>
      </c>
      <c r="R1285" s="12"/>
      <c r="S1285" s="8"/>
      <c r="T1285" s="12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ht="15.75" customHeight="1">
      <c r="A1286" s="5" t="s">
        <v>2455</v>
      </c>
      <c r="B1286" s="6" t="s">
        <v>2456</v>
      </c>
      <c r="C1286" s="6">
        <f t="shared" si="1"/>
        <v>4664</v>
      </c>
      <c r="D1286" s="6">
        <f t="shared" si="68"/>
        <v>15</v>
      </c>
      <c r="E1286" s="7">
        <v>0.0</v>
      </c>
      <c r="F1286" s="8"/>
      <c r="G1286" s="6">
        <f t="shared" si="3"/>
        <v>5799</v>
      </c>
      <c r="H1286" s="6">
        <f t="shared" si="4"/>
        <v>12586</v>
      </c>
      <c r="I1286" s="6">
        <f t="shared" si="5"/>
        <v>25638</v>
      </c>
      <c r="J1286" s="6">
        <f t="shared" si="6"/>
        <v>96369</v>
      </c>
      <c r="K1286" s="9"/>
      <c r="L1286" s="9"/>
      <c r="M1286" s="9"/>
      <c r="N1286" s="9">
        <f t="shared" si="7"/>
        <v>20.66230703</v>
      </c>
      <c r="O1286" s="10">
        <f t="shared" si="8"/>
        <v>24.12829798</v>
      </c>
      <c r="P1286" s="9">
        <v>15.0</v>
      </c>
      <c r="Q1286" s="11" t="str">
        <f t="shared" si="9"/>
        <v>cobertura correcta</v>
      </c>
      <c r="R1286" s="12"/>
      <c r="S1286" s="8"/>
      <c r="T1286" s="12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ht="15.75" customHeight="1">
      <c r="A1287" s="5" t="s">
        <v>2457</v>
      </c>
      <c r="B1287" s="6" t="s">
        <v>2458</v>
      </c>
      <c r="C1287" s="6">
        <f t="shared" si="1"/>
        <v>8903</v>
      </c>
      <c r="D1287" s="6">
        <f t="shared" si="68"/>
        <v>264</v>
      </c>
      <c r="E1287" s="7">
        <v>0.0</v>
      </c>
      <c r="F1287" s="8"/>
      <c r="G1287" s="6">
        <f t="shared" si="3"/>
        <v>7562</v>
      </c>
      <c r="H1287" s="6">
        <f t="shared" si="4"/>
        <v>18102</v>
      </c>
      <c r="I1287" s="6">
        <f t="shared" si="5"/>
        <v>25791</v>
      </c>
      <c r="J1287" s="6">
        <f t="shared" si="6"/>
        <v>98347</v>
      </c>
      <c r="K1287" s="9"/>
      <c r="L1287" s="9"/>
      <c r="M1287" s="9"/>
      <c r="N1287" s="9">
        <f t="shared" si="7"/>
        <v>11.04650118</v>
      </c>
      <c r="O1287" s="10">
        <f t="shared" si="8"/>
        <v>35.32002116</v>
      </c>
      <c r="P1287" s="9">
        <v>7.0</v>
      </c>
      <c r="Q1287" s="11" t="str">
        <f t="shared" si="9"/>
        <v>cobertura correcta</v>
      </c>
      <c r="R1287" s="12"/>
      <c r="S1287" s="8"/>
      <c r="T1287" s="12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ht="15.75" customHeight="1">
      <c r="A1288" s="5" t="s">
        <v>2459</v>
      </c>
      <c r="B1288" s="6" t="s">
        <v>2460</v>
      </c>
      <c r="C1288" s="6">
        <f t="shared" si="1"/>
        <v>4289</v>
      </c>
      <c r="D1288" s="6">
        <f t="shared" si="68"/>
        <v>261</v>
      </c>
      <c r="E1288" s="7">
        <v>0.0</v>
      </c>
      <c r="F1288" s="8"/>
      <c r="G1288" s="6">
        <f t="shared" si="3"/>
        <v>7619</v>
      </c>
      <c r="H1288" s="6">
        <f t="shared" si="4"/>
        <v>16173</v>
      </c>
      <c r="I1288" s="6">
        <f t="shared" si="5"/>
        <v>24718</v>
      </c>
      <c r="J1288" s="6">
        <f t="shared" si="6"/>
        <v>57469</v>
      </c>
      <c r="K1288" s="9"/>
      <c r="L1288" s="9"/>
      <c r="M1288" s="9"/>
      <c r="N1288" s="9">
        <f t="shared" si="7"/>
        <v>13.39916064</v>
      </c>
      <c r="O1288" s="10">
        <f t="shared" si="8"/>
        <v>16.88804305</v>
      </c>
      <c r="P1288" s="9">
        <v>7.0</v>
      </c>
      <c r="Q1288" s="11" t="str">
        <f t="shared" si="9"/>
        <v>cobertura correcta</v>
      </c>
      <c r="R1288" s="12"/>
      <c r="S1288" s="8"/>
      <c r="T1288" s="12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ht="15.75" customHeight="1">
      <c r="A1289" s="5" t="s">
        <v>2461</v>
      </c>
      <c r="B1289" s="6" t="s">
        <v>2462</v>
      </c>
      <c r="C1289" s="6">
        <f t="shared" si="1"/>
        <v>8361</v>
      </c>
      <c r="D1289" s="6">
        <f t="shared" si="68"/>
        <v>36</v>
      </c>
      <c r="E1289" s="7">
        <v>0.0</v>
      </c>
      <c r="F1289" s="8"/>
      <c r="G1289" s="6">
        <f t="shared" si="3"/>
        <v>6618</v>
      </c>
      <c r="H1289" s="6">
        <f t="shared" si="4"/>
        <v>11312</v>
      </c>
      <c r="I1289" s="6">
        <f t="shared" si="5"/>
        <v>23009</v>
      </c>
      <c r="J1289" s="6">
        <f t="shared" si="6"/>
        <v>73381</v>
      </c>
      <c r="K1289" s="9"/>
      <c r="L1289" s="9"/>
      <c r="M1289" s="9"/>
      <c r="N1289" s="9">
        <f t="shared" si="7"/>
        <v>8.776581749</v>
      </c>
      <c r="O1289" s="10">
        <f t="shared" si="8"/>
        <v>37.9011786</v>
      </c>
      <c r="P1289" s="9">
        <v>7.0</v>
      </c>
      <c r="Q1289" s="11" t="str">
        <f t="shared" si="9"/>
        <v>cobertura correcta</v>
      </c>
      <c r="R1289" s="12"/>
      <c r="S1289" s="8"/>
      <c r="T1289" s="12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ht="15.75" customHeight="1">
      <c r="A1290" s="5" t="s">
        <v>2463</v>
      </c>
      <c r="B1290" s="6" t="s">
        <v>2464</v>
      </c>
      <c r="C1290" s="6">
        <f t="shared" si="1"/>
        <v>7446</v>
      </c>
      <c r="D1290" s="6">
        <f t="shared" si="68"/>
        <v>35</v>
      </c>
      <c r="E1290" s="7">
        <v>0.0</v>
      </c>
      <c r="F1290" s="8"/>
      <c r="G1290" s="6">
        <f t="shared" si="3"/>
        <v>7982</v>
      </c>
      <c r="H1290" s="6">
        <f t="shared" si="4"/>
        <v>17967</v>
      </c>
      <c r="I1290" s="6">
        <f t="shared" si="5"/>
        <v>28410</v>
      </c>
      <c r="J1290" s="6">
        <f t="shared" si="6"/>
        <v>56667</v>
      </c>
      <c r="K1290" s="9"/>
      <c r="L1290" s="9"/>
      <c r="M1290" s="9"/>
      <c r="N1290" s="9">
        <f t="shared" si="7"/>
        <v>7.610394843</v>
      </c>
      <c r="O1290" s="10">
        <f t="shared" si="8"/>
        <v>27.9854673</v>
      </c>
      <c r="P1290" s="9">
        <v>7.0</v>
      </c>
      <c r="Q1290" s="11" t="str">
        <f t="shared" si="9"/>
        <v>cobertura correcta</v>
      </c>
      <c r="R1290" s="12"/>
      <c r="S1290" s="8"/>
      <c r="T1290" s="12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ht="15.75" customHeight="1">
      <c r="A1291" s="5" t="s">
        <v>2465</v>
      </c>
      <c r="B1291" s="6" t="s">
        <v>2466</v>
      </c>
      <c r="C1291" s="6">
        <f t="shared" si="1"/>
        <v>1289</v>
      </c>
      <c r="D1291" s="6">
        <f t="shared" si="68"/>
        <v>59</v>
      </c>
      <c r="E1291" s="7">
        <v>0.0</v>
      </c>
      <c r="F1291" s="8"/>
      <c r="G1291" s="6">
        <f t="shared" si="3"/>
        <v>2736</v>
      </c>
      <c r="H1291" s="6">
        <f t="shared" si="4"/>
        <v>13310</v>
      </c>
      <c r="I1291" s="6">
        <f t="shared" si="5"/>
        <v>19867</v>
      </c>
      <c r="J1291" s="6">
        <f t="shared" si="6"/>
        <v>88051</v>
      </c>
      <c r="K1291" s="9"/>
      <c r="L1291" s="9"/>
      <c r="M1291" s="9"/>
      <c r="N1291" s="9">
        <f t="shared" si="7"/>
        <v>68.30954228</v>
      </c>
      <c r="O1291" s="10">
        <f t="shared" si="8"/>
        <v>14.13377193</v>
      </c>
      <c r="P1291" s="9">
        <v>7.0</v>
      </c>
      <c r="Q1291" s="11" t="str">
        <f t="shared" si="9"/>
        <v>cobertura correcta</v>
      </c>
      <c r="R1291" s="12"/>
      <c r="S1291" s="8"/>
      <c r="T1291" s="12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ht="15.75" customHeight="1">
      <c r="A1292" s="5" t="s">
        <v>2467</v>
      </c>
      <c r="B1292" s="6" t="s">
        <v>2468</v>
      </c>
      <c r="C1292" s="6">
        <f t="shared" si="1"/>
        <v>2160</v>
      </c>
      <c r="D1292" s="7">
        <v>0.0</v>
      </c>
      <c r="E1292" s="7">
        <v>0.0</v>
      </c>
      <c r="F1292" s="8"/>
      <c r="G1292" s="6">
        <f t="shared" si="3"/>
        <v>3184</v>
      </c>
      <c r="H1292" s="6">
        <f t="shared" si="4"/>
        <v>13386</v>
      </c>
      <c r="I1292" s="6">
        <f t="shared" si="5"/>
        <v>26180</v>
      </c>
      <c r="J1292" s="6">
        <f t="shared" si="6"/>
        <v>68197</v>
      </c>
      <c r="K1292" s="9"/>
      <c r="L1292" s="9"/>
      <c r="M1292" s="9"/>
      <c r="N1292" s="9">
        <f t="shared" si="7"/>
        <v>31.57268519</v>
      </c>
      <c r="O1292" s="10">
        <f t="shared" si="8"/>
        <v>20.35175879</v>
      </c>
      <c r="P1292" s="9">
        <v>7.0</v>
      </c>
      <c r="Q1292" s="11" t="str">
        <f t="shared" si="9"/>
        <v>cobertura correcta</v>
      </c>
      <c r="R1292" s="12"/>
      <c r="S1292" s="8"/>
      <c r="T1292" s="12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ht="15.75" customHeight="1">
      <c r="A1293" s="5" t="s">
        <v>2469</v>
      </c>
      <c r="B1293" s="6" t="s">
        <v>2470</v>
      </c>
      <c r="C1293" s="6">
        <f t="shared" si="1"/>
        <v>1614</v>
      </c>
      <c r="D1293" s="6">
        <f t="shared" ref="D1293:D1294" si="69">RANDBETWEEN(0, 350)</f>
        <v>105</v>
      </c>
      <c r="E1293" s="7">
        <v>0.0</v>
      </c>
      <c r="F1293" s="8"/>
      <c r="G1293" s="6">
        <f t="shared" si="3"/>
        <v>6351</v>
      </c>
      <c r="H1293" s="6">
        <f t="shared" si="4"/>
        <v>16103</v>
      </c>
      <c r="I1293" s="6">
        <f t="shared" si="5"/>
        <v>28968</v>
      </c>
      <c r="J1293" s="6">
        <f t="shared" si="6"/>
        <v>47362</v>
      </c>
      <c r="K1293" s="9"/>
      <c r="L1293" s="9"/>
      <c r="M1293" s="9"/>
      <c r="N1293" s="9">
        <f t="shared" si="7"/>
        <v>29.34448575</v>
      </c>
      <c r="O1293" s="10">
        <f t="shared" si="8"/>
        <v>7.623996221</v>
      </c>
      <c r="P1293" s="9">
        <v>15.0</v>
      </c>
      <c r="Q1293" s="11" t="str">
        <f t="shared" si="9"/>
        <v>¡Compra YA!</v>
      </c>
      <c r="R1293" s="12"/>
      <c r="S1293" s="8"/>
      <c r="T1293" s="12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ht="15.75" customHeight="1">
      <c r="A1294" s="5" t="s">
        <v>2471</v>
      </c>
      <c r="B1294" s="6" t="s">
        <v>2472</v>
      </c>
      <c r="C1294" s="6">
        <f t="shared" si="1"/>
        <v>7432</v>
      </c>
      <c r="D1294" s="6">
        <f t="shared" si="69"/>
        <v>131</v>
      </c>
      <c r="E1294" s="7">
        <v>0.0</v>
      </c>
      <c r="F1294" s="8"/>
      <c r="G1294" s="6">
        <f t="shared" si="3"/>
        <v>6597</v>
      </c>
      <c r="H1294" s="6">
        <f t="shared" si="4"/>
        <v>15811</v>
      </c>
      <c r="I1294" s="6">
        <f t="shared" si="5"/>
        <v>22604</v>
      </c>
      <c r="J1294" s="6">
        <f t="shared" si="6"/>
        <v>38487</v>
      </c>
      <c r="K1294" s="9"/>
      <c r="L1294" s="9"/>
      <c r="M1294" s="9"/>
      <c r="N1294" s="9">
        <f t="shared" si="7"/>
        <v>5.178552207</v>
      </c>
      <c r="O1294" s="10">
        <f t="shared" si="8"/>
        <v>33.79718054</v>
      </c>
      <c r="P1294" s="9">
        <v>15.0</v>
      </c>
      <c r="Q1294" s="11" t="str">
        <f t="shared" si="9"/>
        <v>cobertura correcta</v>
      </c>
      <c r="R1294" s="12"/>
      <c r="S1294" s="8"/>
      <c r="T1294" s="12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ht="15.75" customHeight="1">
      <c r="A1295" s="5" t="s">
        <v>2473</v>
      </c>
      <c r="B1295" s="6" t="s">
        <v>2474</v>
      </c>
      <c r="C1295" s="6">
        <f t="shared" si="1"/>
        <v>1460</v>
      </c>
      <c r="D1295" s="7">
        <v>0.0</v>
      </c>
      <c r="E1295" s="7">
        <v>0.0</v>
      </c>
      <c r="F1295" s="8"/>
      <c r="G1295" s="6">
        <f t="shared" si="3"/>
        <v>5793</v>
      </c>
      <c r="H1295" s="6">
        <f t="shared" si="4"/>
        <v>9646</v>
      </c>
      <c r="I1295" s="6">
        <f t="shared" si="5"/>
        <v>19464</v>
      </c>
      <c r="J1295" s="6">
        <f t="shared" si="6"/>
        <v>30789</v>
      </c>
      <c r="K1295" s="9"/>
      <c r="L1295" s="9"/>
      <c r="M1295" s="9"/>
      <c r="N1295" s="9">
        <f t="shared" si="7"/>
        <v>21.08835616</v>
      </c>
      <c r="O1295" s="10">
        <f t="shared" si="8"/>
        <v>7.560849301</v>
      </c>
      <c r="P1295" s="9">
        <v>15.0</v>
      </c>
      <c r="Q1295" s="11" t="str">
        <f t="shared" si="9"/>
        <v>¡Compra YA!</v>
      </c>
      <c r="R1295" s="12"/>
      <c r="S1295" s="8"/>
      <c r="T1295" s="12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ht="15.75" customHeight="1">
      <c r="A1296" s="5" t="s">
        <v>2475</v>
      </c>
      <c r="B1296" s="6" t="s">
        <v>2476</v>
      </c>
      <c r="C1296" s="6">
        <f t="shared" si="1"/>
        <v>7799</v>
      </c>
      <c r="D1296" s="6">
        <f t="shared" ref="D1296:D1301" si="70">RANDBETWEEN(0, 350)</f>
        <v>30</v>
      </c>
      <c r="E1296" s="7">
        <v>0.0</v>
      </c>
      <c r="F1296" s="8"/>
      <c r="G1296" s="6">
        <f t="shared" si="3"/>
        <v>3374</v>
      </c>
      <c r="H1296" s="6">
        <f t="shared" si="4"/>
        <v>13391</v>
      </c>
      <c r="I1296" s="6">
        <f t="shared" si="5"/>
        <v>24670</v>
      </c>
      <c r="J1296" s="6">
        <f t="shared" si="6"/>
        <v>48742</v>
      </c>
      <c r="K1296" s="9"/>
      <c r="L1296" s="9"/>
      <c r="M1296" s="9"/>
      <c r="N1296" s="9">
        <f t="shared" si="7"/>
        <v>6.249775612</v>
      </c>
      <c r="O1296" s="10">
        <f t="shared" si="8"/>
        <v>69.34499111</v>
      </c>
      <c r="P1296" s="9">
        <v>15.0</v>
      </c>
      <c r="Q1296" s="11" t="str">
        <f t="shared" si="9"/>
        <v>cobertura correcta</v>
      </c>
      <c r="R1296" s="12"/>
      <c r="S1296" s="8"/>
      <c r="T1296" s="12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ht="15.75" customHeight="1">
      <c r="A1297" s="5" t="s">
        <v>2477</v>
      </c>
      <c r="B1297" s="6" t="s">
        <v>2478</v>
      </c>
      <c r="C1297" s="6">
        <f t="shared" si="1"/>
        <v>2345</v>
      </c>
      <c r="D1297" s="6">
        <f t="shared" si="70"/>
        <v>66</v>
      </c>
      <c r="E1297" s="7">
        <v>0.0</v>
      </c>
      <c r="F1297" s="8"/>
      <c r="G1297" s="6">
        <f t="shared" si="3"/>
        <v>3422</v>
      </c>
      <c r="H1297" s="6">
        <f t="shared" si="4"/>
        <v>14432</v>
      </c>
      <c r="I1297" s="6">
        <f t="shared" si="5"/>
        <v>28156</v>
      </c>
      <c r="J1297" s="6">
        <f t="shared" si="6"/>
        <v>71272</v>
      </c>
      <c r="K1297" s="9"/>
      <c r="L1297" s="9"/>
      <c r="M1297" s="9"/>
      <c r="N1297" s="9">
        <f t="shared" si="7"/>
        <v>30.39317697</v>
      </c>
      <c r="O1297" s="10">
        <f t="shared" si="8"/>
        <v>20.55815313</v>
      </c>
      <c r="P1297" s="9">
        <v>30.0</v>
      </c>
      <c r="Q1297" s="11" t="str">
        <f t="shared" si="9"/>
        <v>¡Compra YA!</v>
      </c>
      <c r="R1297" s="12"/>
      <c r="S1297" s="8"/>
      <c r="T1297" s="12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ht="15.75" customHeight="1">
      <c r="A1298" s="5" t="s">
        <v>2479</v>
      </c>
      <c r="B1298" s="6" t="s">
        <v>2480</v>
      </c>
      <c r="C1298" s="6">
        <f t="shared" si="1"/>
        <v>4011</v>
      </c>
      <c r="D1298" s="6">
        <f t="shared" si="70"/>
        <v>216</v>
      </c>
      <c r="E1298" s="7">
        <v>0.0</v>
      </c>
      <c r="F1298" s="8"/>
      <c r="G1298" s="6">
        <f t="shared" si="3"/>
        <v>6487</v>
      </c>
      <c r="H1298" s="6">
        <f t="shared" si="4"/>
        <v>18944</v>
      </c>
      <c r="I1298" s="6">
        <f t="shared" si="5"/>
        <v>22666</v>
      </c>
      <c r="J1298" s="6">
        <f t="shared" si="6"/>
        <v>52861</v>
      </c>
      <c r="K1298" s="9"/>
      <c r="L1298" s="9"/>
      <c r="M1298" s="9"/>
      <c r="N1298" s="9">
        <f t="shared" si="7"/>
        <v>13.17900773</v>
      </c>
      <c r="O1298" s="10">
        <f t="shared" si="8"/>
        <v>18.54940651</v>
      </c>
      <c r="P1298" s="9">
        <v>15.0</v>
      </c>
      <c r="Q1298" s="11" t="str">
        <f t="shared" si="9"/>
        <v>cobertura correcta</v>
      </c>
      <c r="R1298" s="12"/>
      <c r="S1298" s="8"/>
      <c r="T1298" s="12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ht="15.75" customHeight="1">
      <c r="A1299" s="5" t="s">
        <v>2481</v>
      </c>
      <c r="B1299" s="6" t="s">
        <v>2482</v>
      </c>
      <c r="C1299" s="6">
        <f t="shared" si="1"/>
        <v>1852</v>
      </c>
      <c r="D1299" s="6">
        <f t="shared" si="70"/>
        <v>39</v>
      </c>
      <c r="E1299" s="7">
        <v>0.0</v>
      </c>
      <c r="F1299" s="8"/>
      <c r="G1299" s="6">
        <f t="shared" si="3"/>
        <v>8313</v>
      </c>
      <c r="H1299" s="6">
        <f t="shared" si="4"/>
        <v>15073</v>
      </c>
      <c r="I1299" s="6">
        <f t="shared" si="5"/>
        <v>23065</v>
      </c>
      <c r="J1299" s="6">
        <f t="shared" si="6"/>
        <v>67689</v>
      </c>
      <c r="K1299" s="9"/>
      <c r="L1299" s="9"/>
      <c r="M1299" s="9"/>
      <c r="N1299" s="9">
        <f t="shared" si="7"/>
        <v>36.54913607</v>
      </c>
      <c r="O1299" s="10">
        <f t="shared" si="8"/>
        <v>6.683507759</v>
      </c>
      <c r="P1299" s="9">
        <v>15.0</v>
      </c>
      <c r="Q1299" s="11" t="str">
        <f t="shared" si="9"/>
        <v>¡Compra YA!</v>
      </c>
      <c r="R1299" s="12"/>
      <c r="S1299" s="8"/>
      <c r="T1299" s="12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ht="15.75" customHeight="1">
      <c r="A1300" s="5" t="s">
        <v>2483</v>
      </c>
      <c r="B1300" s="6" t="s">
        <v>2484</v>
      </c>
      <c r="C1300" s="6">
        <f t="shared" si="1"/>
        <v>1719</v>
      </c>
      <c r="D1300" s="6">
        <f t="shared" si="70"/>
        <v>343</v>
      </c>
      <c r="E1300" s="7">
        <v>0.0</v>
      </c>
      <c r="F1300" s="8"/>
      <c r="G1300" s="6">
        <f t="shared" si="3"/>
        <v>2998</v>
      </c>
      <c r="H1300" s="6">
        <f t="shared" si="4"/>
        <v>13024</v>
      </c>
      <c r="I1300" s="6">
        <f t="shared" si="5"/>
        <v>24810</v>
      </c>
      <c r="J1300" s="6">
        <f t="shared" si="6"/>
        <v>93042</v>
      </c>
      <c r="K1300" s="9"/>
      <c r="L1300" s="9"/>
      <c r="M1300" s="9"/>
      <c r="N1300" s="9">
        <f t="shared" si="7"/>
        <v>54.12565445</v>
      </c>
      <c r="O1300" s="10">
        <f t="shared" si="8"/>
        <v>17.20146765</v>
      </c>
      <c r="P1300" s="9">
        <v>15.0</v>
      </c>
      <c r="Q1300" s="11" t="str">
        <f t="shared" si="9"/>
        <v>cobertura correcta</v>
      </c>
      <c r="R1300" s="12"/>
      <c r="S1300" s="8"/>
      <c r="T1300" s="12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ht="15.75" customHeight="1">
      <c r="A1301" s="5" t="s">
        <v>2485</v>
      </c>
      <c r="B1301" s="6" t="s">
        <v>2486</v>
      </c>
      <c r="C1301" s="6">
        <f t="shared" si="1"/>
        <v>5890</v>
      </c>
      <c r="D1301" s="6">
        <f t="shared" si="70"/>
        <v>275</v>
      </c>
      <c r="E1301" s="7">
        <v>0.0</v>
      </c>
      <c r="F1301" s="8"/>
      <c r="G1301" s="6">
        <f t="shared" si="3"/>
        <v>7604</v>
      </c>
      <c r="H1301" s="6">
        <f t="shared" si="4"/>
        <v>16171</v>
      </c>
      <c r="I1301" s="6">
        <f t="shared" si="5"/>
        <v>23598</v>
      </c>
      <c r="J1301" s="6">
        <f t="shared" si="6"/>
        <v>34726</v>
      </c>
      <c r="K1301" s="9"/>
      <c r="L1301" s="9"/>
      <c r="M1301" s="9"/>
      <c r="N1301" s="9">
        <f t="shared" si="7"/>
        <v>5.895755518</v>
      </c>
      <c r="O1301" s="10">
        <f t="shared" si="8"/>
        <v>23.23776959</v>
      </c>
      <c r="P1301" s="9">
        <v>15.0</v>
      </c>
      <c r="Q1301" s="11" t="str">
        <f t="shared" si="9"/>
        <v>cobertura correcta</v>
      </c>
      <c r="R1301" s="12"/>
      <c r="S1301" s="8"/>
      <c r="T1301" s="12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ht="15.75" customHeight="1">
      <c r="A1302" s="5" t="s">
        <v>2487</v>
      </c>
      <c r="B1302" s="6" t="s">
        <v>2488</v>
      </c>
      <c r="C1302" s="6">
        <f t="shared" si="1"/>
        <v>3119</v>
      </c>
      <c r="D1302" s="6">
        <f>RANDBETWEEN(0, 50)</f>
        <v>8</v>
      </c>
      <c r="E1302" s="7">
        <v>0.0</v>
      </c>
      <c r="F1302" s="8"/>
      <c r="G1302" s="6">
        <f t="shared" si="3"/>
        <v>1746</v>
      </c>
      <c r="H1302" s="6">
        <f t="shared" si="4"/>
        <v>9514</v>
      </c>
      <c r="I1302" s="6">
        <f t="shared" si="5"/>
        <v>22874</v>
      </c>
      <c r="J1302" s="6">
        <f t="shared" si="6"/>
        <v>67455</v>
      </c>
      <c r="K1302" s="9"/>
      <c r="L1302" s="9"/>
      <c r="M1302" s="9"/>
      <c r="N1302" s="9">
        <f t="shared" si="7"/>
        <v>21.62712408</v>
      </c>
      <c r="O1302" s="10">
        <f t="shared" si="8"/>
        <v>53.59106529</v>
      </c>
      <c r="P1302" s="9">
        <v>7.0</v>
      </c>
      <c r="Q1302" s="11" t="str">
        <f t="shared" si="9"/>
        <v>cobertura correcta</v>
      </c>
      <c r="R1302" s="12"/>
      <c r="S1302" s="8"/>
      <c r="T1302" s="12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ht="15.75" customHeight="1">
      <c r="A1303" s="5" t="s">
        <v>2489</v>
      </c>
      <c r="B1303" s="6" t="s">
        <v>2490</v>
      </c>
      <c r="C1303" s="6">
        <f t="shared" si="1"/>
        <v>3379</v>
      </c>
      <c r="D1303" s="7">
        <v>0.0</v>
      </c>
      <c r="E1303" s="7">
        <v>0.0</v>
      </c>
      <c r="F1303" s="8"/>
      <c r="G1303" s="6">
        <f t="shared" si="3"/>
        <v>2201</v>
      </c>
      <c r="H1303" s="6">
        <f t="shared" si="4"/>
        <v>14522</v>
      </c>
      <c r="I1303" s="6">
        <f t="shared" si="5"/>
        <v>20727</v>
      </c>
      <c r="J1303" s="6">
        <f t="shared" si="6"/>
        <v>57012</v>
      </c>
      <c r="K1303" s="9"/>
      <c r="L1303" s="9"/>
      <c r="M1303" s="9"/>
      <c r="N1303" s="9">
        <f t="shared" si="7"/>
        <v>16.87244747</v>
      </c>
      <c r="O1303" s="10">
        <f t="shared" si="8"/>
        <v>46.05633803</v>
      </c>
      <c r="P1303" s="9">
        <v>7.0</v>
      </c>
      <c r="Q1303" s="11" t="str">
        <f t="shared" si="9"/>
        <v>cobertura correcta</v>
      </c>
      <c r="R1303" s="12"/>
      <c r="S1303" s="8"/>
      <c r="T1303" s="12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ht="15.75" customHeight="1">
      <c r="A1304" s="5" t="s">
        <v>2491</v>
      </c>
      <c r="B1304" s="6" t="s">
        <v>2492</v>
      </c>
      <c r="C1304" s="6">
        <f t="shared" si="1"/>
        <v>5075</v>
      </c>
      <c r="D1304" s="7">
        <v>0.0</v>
      </c>
      <c r="E1304" s="7">
        <v>0.0</v>
      </c>
      <c r="F1304" s="8"/>
      <c r="G1304" s="6">
        <f t="shared" si="3"/>
        <v>1520</v>
      </c>
      <c r="H1304" s="6">
        <f t="shared" si="4"/>
        <v>15956</v>
      </c>
      <c r="I1304" s="6">
        <f t="shared" si="5"/>
        <v>22577</v>
      </c>
      <c r="J1304" s="6">
        <f t="shared" si="6"/>
        <v>30346</v>
      </c>
      <c r="K1304" s="9"/>
      <c r="L1304" s="9"/>
      <c r="M1304" s="9"/>
      <c r="N1304" s="9">
        <f t="shared" si="7"/>
        <v>5.979507389</v>
      </c>
      <c r="O1304" s="10">
        <f t="shared" si="8"/>
        <v>100.1644737</v>
      </c>
      <c r="P1304" s="9">
        <v>7.0</v>
      </c>
      <c r="Q1304" s="11" t="str">
        <f t="shared" si="9"/>
        <v>cobertura correcta</v>
      </c>
      <c r="R1304" s="12"/>
      <c r="S1304" s="8"/>
      <c r="T1304" s="12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ht="15.75" customHeight="1">
      <c r="A1305" s="5" t="s">
        <v>2493</v>
      </c>
      <c r="B1305" s="6" t="s">
        <v>2494</v>
      </c>
      <c r="C1305" s="6">
        <f t="shared" si="1"/>
        <v>3427</v>
      </c>
      <c r="D1305" s="7">
        <v>0.0</v>
      </c>
      <c r="E1305" s="7">
        <v>0.0</v>
      </c>
      <c r="F1305" s="8"/>
      <c r="G1305" s="6">
        <f t="shared" si="3"/>
        <v>7021</v>
      </c>
      <c r="H1305" s="6">
        <f t="shared" si="4"/>
        <v>10191</v>
      </c>
      <c r="I1305" s="6">
        <f t="shared" si="5"/>
        <v>19557</v>
      </c>
      <c r="J1305" s="6">
        <f t="shared" si="6"/>
        <v>66432</v>
      </c>
      <c r="K1305" s="9"/>
      <c r="L1305" s="9"/>
      <c r="M1305" s="9"/>
      <c r="N1305" s="9">
        <f t="shared" si="7"/>
        <v>19.38488474</v>
      </c>
      <c r="O1305" s="10">
        <f t="shared" si="8"/>
        <v>14.64321322</v>
      </c>
      <c r="P1305" s="9">
        <v>7.0</v>
      </c>
      <c r="Q1305" s="11" t="str">
        <f t="shared" si="9"/>
        <v>cobertura correcta</v>
      </c>
      <c r="R1305" s="12"/>
      <c r="S1305" s="8"/>
      <c r="T1305" s="12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ht="15.75" customHeight="1">
      <c r="A1306" s="5" t="s">
        <v>2495</v>
      </c>
      <c r="B1306" s="6" t="s">
        <v>2496</v>
      </c>
      <c r="C1306" s="6">
        <f t="shared" si="1"/>
        <v>7132</v>
      </c>
      <c r="D1306" s="7">
        <v>0.0</v>
      </c>
      <c r="E1306" s="7">
        <v>0.0</v>
      </c>
      <c r="F1306" s="8"/>
      <c r="G1306" s="6">
        <f t="shared" si="3"/>
        <v>6785</v>
      </c>
      <c r="H1306" s="6">
        <f t="shared" si="4"/>
        <v>17451</v>
      </c>
      <c r="I1306" s="6">
        <f t="shared" si="5"/>
        <v>23863</v>
      </c>
      <c r="J1306" s="6">
        <f t="shared" si="6"/>
        <v>42496</v>
      </c>
      <c r="K1306" s="9"/>
      <c r="L1306" s="9"/>
      <c r="M1306" s="9"/>
      <c r="N1306" s="9">
        <f t="shared" si="7"/>
        <v>5.958496915</v>
      </c>
      <c r="O1306" s="10">
        <f t="shared" si="8"/>
        <v>31.53426676</v>
      </c>
      <c r="P1306" s="9">
        <v>20.0</v>
      </c>
      <c r="Q1306" s="11" t="str">
        <f t="shared" si="9"/>
        <v>cobertura correcta</v>
      </c>
      <c r="R1306" s="12"/>
      <c r="S1306" s="8"/>
      <c r="T1306" s="12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ht="15.75" customHeight="1">
      <c r="A1307" s="5" t="s">
        <v>2497</v>
      </c>
      <c r="B1307" s="6" t="s">
        <v>2498</v>
      </c>
      <c r="C1307" s="6">
        <f t="shared" si="1"/>
        <v>2547</v>
      </c>
      <c r="D1307" s="7">
        <v>0.0</v>
      </c>
      <c r="E1307" s="7">
        <v>0.0</v>
      </c>
      <c r="F1307" s="8"/>
      <c r="G1307" s="6">
        <f t="shared" si="3"/>
        <v>7350</v>
      </c>
      <c r="H1307" s="6">
        <f t="shared" si="4"/>
        <v>13116</v>
      </c>
      <c r="I1307" s="6">
        <f t="shared" si="5"/>
        <v>21092</v>
      </c>
      <c r="J1307" s="6">
        <f t="shared" si="6"/>
        <v>84732</v>
      </c>
      <c r="K1307" s="9"/>
      <c r="L1307" s="9"/>
      <c r="M1307" s="9"/>
      <c r="N1307" s="9">
        <f t="shared" si="7"/>
        <v>33.26737338</v>
      </c>
      <c r="O1307" s="10">
        <f t="shared" si="8"/>
        <v>10.39591837</v>
      </c>
      <c r="P1307" s="9">
        <v>7.0</v>
      </c>
      <c r="Q1307" s="11" t="str">
        <f t="shared" si="9"/>
        <v>cobertura correcta</v>
      </c>
      <c r="R1307" s="12"/>
      <c r="S1307" s="8"/>
      <c r="T1307" s="12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ht="15.75" customHeight="1">
      <c r="A1308" s="5" t="s">
        <v>2499</v>
      </c>
      <c r="B1308" s="6"/>
      <c r="C1308" s="6">
        <f t="shared" si="1"/>
        <v>6455</v>
      </c>
      <c r="D1308" s="7">
        <v>0.0</v>
      </c>
      <c r="E1308" s="7">
        <v>0.0</v>
      </c>
      <c r="F1308" s="8"/>
      <c r="G1308" s="6">
        <f t="shared" si="3"/>
        <v>5710</v>
      </c>
      <c r="H1308" s="6">
        <f t="shared" si="4"/>
        <v>11599</v>
      </c>
      <c r="I1308" s="6">
        <f t="shared" si="5"/>
        <v>22251</v>
      </c>
      <c r="J1308" s="6">
        <f t="shared" si="6"/>
        <v>72369</v>
      </c>
      <c r="K1308" s="9"/>
      <c r="L1308" s="9"/>
      <c r="M1308" s="9"/>
      <c r="N1308" s="9">
        <f t="shared" si="7"/>
        <v>11.21130906</v>
      </c>
      <c r="O1308" s="10">
        <f t="shared" si="8"/>
        <v>33.91418564</v>
      </c>
      <c r="P1308" s="9">
        <v>7.0</v>
      </c>
      <c r="Q1308" s="11" t="str">
        <f t="shared" si="9"/>
        <v>cobertura correcta</v>
      </c>
      <c r="R1308" s="12"/>
      <c r="S1308" s="8"/>
      <c r="T1308" s="12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ht="15.75" customHeight="1">
      <c r="A1309" s="5" t="s">
        <v>2500</v>
      </c>
      <c r="B1309" s="6" t="s">
        <v>2501</v>
      </c>
      <c r="C1309" s="6">
        <f t="shared" si="1"/>
        <v>8831</v>
      </c>
      <c r="D1309" s="7">
        <v>0.0</v>
      </c>
      <c r="E1309" s="7">
        <v>0.0</v>
      </c>
      <c r="F1309" s="8"/>
      <c r="G1309" s="6">
        <f t="shared" si="3"/>
        <v>7480</v>
      </c>
      <c r="H1309" s="6">
        <f t="shared" si="4"/>
        <v>11422</v>
      </c>
      <c r="I1309" s="6">
        <f t="shared" si="5"/>
        <v>22134</v>
      </c>
      <c r="J1309" s="6">
        <f t="shared" si="6"/>
        <v>64003</v>
      </c>
      <c r="K1309" s="9"/>
      <c r="L1309" s="9"/>
      <c r="M1309" s="9"/>
      <c r="N1309" s="9">
        <f t="shared" si="7"/>
        <v>7.247537085</v>
      </c>
      <c r="O1309" s="10">
        <f t="shared" si="8"/>
        <v>35.4184492</v>
      </c>
      <c r="P1309" s="9">
        <v>15.0</v>
      </c>
      <c r="Q1309" s="11" t="str">
        <f t="shared" si="9"/>
        <v>cobertura correcta</v>
      </c>
      <c r="R1309" s="12"/>
      <c r="S1309" s="8"/>
      <c r="T1309" s="12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ht="15.75" customHeight="1">
      <c r="A1310" s="5" t="s">
        <v>2502</v>
      </c>
      <c r="B1310" s="6" t="s">
        <v>2503</v>
      </c>
      <c r="C1310" s="6">
        <f t="shared" si="1"/>
        <v>5107</v>
      </c>
      <c r="D1310" s="7">
        <v>0.0</v>
      </c>
      <c r="E1310" s="7">
        <v>0.0</v>
      </c>
      <c r="F1310" s="8"/>
      <c r="G1310" s="6">
        <f t="shared" si="3"/>
        <v>4331</v>
      </c>
      <c r="H1310" s="6">
        <f t="shared" si="4"/>
        <v>11663</v>
      </c>
      <c r="I1310" s="6">
        <f t="shared" si="5"/>
        <v>20366</v>
      </c>
      <c r="J1310" s="6">
        <f t="shared" si="6"/>
        <v>41570</v>
      </c>
      <c r="K1310" s="9"/>
      <c r="L1310" s="9"/>
      <c r="M1310" s="9"/>
      <c r="N1310" s="9">
        <f t="shared" si="7"/>
        <v>8.139808107</v>
      </c>
      <c r="O1310" s="10">
        <f t="shared" si="8"/>
        <v>35.37520203</v>
      </c>
      <c r="P1310" s="9">
        <v>15.0</v>
      </c>
      <c r="Q1310" s="11" t="str">
        <f t="shared" si="9"/>
        <v>cobertura correcta</v>
      </c>
      <c r="R1310" s="12"/>
      <c r="S1310" s="8"/>
      <c r="T1310" s="12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ht="15.75" customHeight="1">
      <c r="A1311" s="5" t="s">
        <v>2504</v>
      </c>
      <c r="B1311" s="6"/>
      <c r="C1311" s="6">
        <f t="shared" si="1"/>
        <v>6179</v>
      </c>
      <c r="D1311" s="7">
        <v>0.0</v>
      </c>
      <c r="E1311" s="7">
        <v>0.0</v>
      </c>
      <c r="F1311" s="8"/>
      <c r="G1311" s="6">
        <f t="shared" si="3"/>
        <v>6624</v>
      </c>
      <c r="H1311" s="6">
        <f t="shared" si="4"/>
        <v>14303</v>
      </c>
      <c r="I1311" s="6">
        <f t="shared" si="5"/>
        <v>22058</v>
      </c>
      <c r="J1311" s="6">
        <f t="shared" si="6"/>
        <v>73389</v>
      </c>
      <c r="K1311" s="9"/>
      <c r="L1311" s="9"/>
      <c r="M1311" s="9"/>
      <c r="N1311" s="9">
        <f t="shared" si="7"/>
        <v>11.87716459</v>
      </c>
      <c r="O1311" s="10">
        <f t="shared" si="8"/>
        <v>27.98460145</v>
      </c>
      <c r="P1311" s="9">
        <v>7.0</v>
      </c>
      <c r="Q1311" s="11" t="str">
        <f t="shared" si="9"/>
        <v>cobertura correcta</v>
      </c>
      <c r="R1311" s="12"/>
      <c r="S1311" s="8"/>
      <c r="T1311" s="12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ht="15.75" customHeight="1">
      <c r="A1312" s="5" t="s">
        <v>2505</v>
      </c>
      <c r="B1312" s="6"/>
      <c r="C1312" s="6">
        <f t="shared" si="1"/>
        <v>5934</v>
      </c>
      <c r="D1312" s="7">
        <v>0.0</v>
      </c>
      <c r="E1312" s="7">
        <v>0.0</v>
      </c>
      <c r="F1312" s="8"/>
      <c r="G1312" s="6">
        <f t="shared" si="3"/>
        <v>2083</v>
      </c>
      <c r="H1312" s="6">
        <f t="shared" si="4"/>
        <v>18438</v>
      </c>
      <c r="I1312" s="6">
        <f t="shared" si="5"/>
        <v>24961</v>
      </c>
      <c r="J1312" s="6">
        <f t="shared" si="6"/>
        <v>79023</v>
      </c>
      <c r="K1312" s="9"/>
      <c r="L1312" s="9"/>
      <c r="M1312" s="9"/>
      <c r="N1312" s="9">
        <f t="shared" si="7"/>
        <v>13.31698686</v>
      </c>
      <c r="O1312" s="10">
        <f t="shared" si="8"/>
        <v>85.46327412</v>
      </c>
      <c r="P1312" s="9">
        <v>20.0</v>
      </c>
      <c r="Q1312" s="11" t="str">
        <f t="shared" si="9"/>
        <v>cobertura correcta</v>
      </c>
      <c r="R1312" s="12"/>
      <c r="S1312" s="8"/>
      <c r="T1312" s="12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ht="15.75" customHeight="1">
      <c r="A1313" s="5" t="s">
        <v>2506</v>
      </c>
      <c r="B1313" s="6" t="s">
        <v>2507</v>
      </c>
      <c r="C1313" s="6">
        <f t="shared" si="1"/>
        <v>7544</v>
      </c>
      <c r="D1313" s="7">
        <v>0.0</v>
      </c>
      <c r="E1313" s="7">
        <v>0.0</v>
      </c>
      <c r="F1313" s="8"/>
      <c r="G1313" s="6">
        <f t="shared" si="3"/>
        <v>1930</v>
      </c>
      <c r="H1313" s="6">
        <f t="shared" si="4"/>
        <v>12185</v>
      </c>
      <c r="I1313" s="6">
        <f t="shared" si="5"/>
        <v>23806</v>
      </c>
      <c r="J1313" s="6">
        <f t="shared" si="6"/>
        <v>48483</v>
      </c>
      <c r="K1313" s="9"/>
      <c r="L1313" s="9"/>
      <c r="M1313" s="9"/>
      <c r="N1313" s="9">
        <f t="shared" si="7"/>
        <v>6.426696713</v>
      </c>
      <c r="O1313" s="10">
        <f t="shared" si="8"/>
        <v>117.2642487</v>
      </c>
      <c r="P1313" s="9">
        <v>7.0</v>
      </c>
      <c r="Q1313" s="11" t="str">
        <f t="shared" si="9"/>
        <v>cobertura correcta</v>
      </c>
      <c r="R1313" s="12"/>
      <c r="S1313" s="8"/>
      <c r="T1313" s="12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ht="15.75" customHeight="1">
      <c r="A1314" s="5" t="s">
        <v>2508</v>
      </c>
      <c r="B1314" s="6" t="s">
        <v>2509</v>
      </c>
      <c r="C1314" s="6">
        <f t="shared" si="1"/>
        <v>6803</v>
      </c>
      <c r="D1314" s="7">
        <v>0.0</v>
      </c>
      <c r="E1314" s="7">
        <v>0.0</v>
      </c>
      <c r="F1314" s="8"/>
      <c r="G1314" s="6">
        <f t="shared" si="3"/>
        <v>2524</v>
      </c>
      <c r="H1314" s="6">
        <f t="shared" si="4"/>
        <v>16321</v>
      </c>
      <c r="I1314" s="6">
        <f t="shared" si="5"/>
        <v>27811</v>
      </c>
      <c r="J1314" s="6">
        <f t="shared" si="6"/>
        <v>81138</v>
      </c>
      <c r="K1314" s="9"/>
      <c r="L1314" s="9"/>
      <c r="M1314" s="9"/>
      <c r="N1314" s="9">
        <f t="shared" si="7"/>
        <v>11.926797</v>
      </c>
      <c r="O1314" s="10">
        <f t="shared" si="8"/>
        <v>80.85974643</v>
      </c>
      <c r="P1314" s="9">
        <v>7.0</v>
      </c>
      <c r="Q1314" s="11" t="str">
        <f t="shared" si="9"/>
        <v>cobertura correcta</v>
      </c>
      <c r="R1314" s="12"/>
      <c r="S1314" s="8"/>
      <c r="T1314" s="12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ht="15.75" customHeight="1">
      <c r="A1315" s="5" t="s">
        <v>2510</v>
      </c>
      <c r="B1315" s="6" t="s">
        <v>2511</v>
      </c>
      <c r="C1315" s="6">
        <f t="shared" si="1"/>
        <v>7955</v>
      </c>
      <c r="D1315" s="7">
        <v>0.0</v>
      </c>
      <c r="E1315" s="7">
        <v>0.0</v>
      </c>
      <c r="F1315" s="8"/>
      <c r="G1315" s="6">
        <f t="shared" si="3"/>
        <v>1389</v>
      </c>
      <c r="H1315" s="6">
        <f t="shared" si="4"/>
        <v>13402</v>
      </c>
      <c r="I1315" s="6">
        <f t="shared" si="5"/>
        <v>28042</v>
      </c>
      <c r="J1315" s="6">
        <f t="shared" si="6"/>
        <v>34228</v>
      </c>
      <c r="K1315" s="9"/>
      <c r="L1315" s="9"/>
      <c r="M1315" s="9"/>
      <c r="N1315" s="9">
        <f t="shared" si="7"/>
        <v>4.302702703</v>
      </c>
      <c r="O1315" s="10">
        <f t="shared" si="8"/>
        <v>171.8142549</v>
      </c>
      <c r="P1315" s="9">
        <v>7.0</v>
      </c>
      <c r="Q1315" s="11" t="str">
        <f t="shared" si="9"/>
        <v>cobertura correcta</v>
      </c>
      <c r="R1315" s="12"/>
      <c r="S1315" s="8"/>
      <c r="T1315" s="12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ht="15.75" customHeight="1">
      <c r="A1316" s="5" t="s">
        <v>2512</v>
      </c>
      <c r="B1316" s="6"/>
      <c r="C1316" s="6">
        <f t="shared" si="1"/>
        <v>6201</v>
      </c>
      <c r="D1316" s="7">
        <v>0.0</v>
      </c>
      <c r="E1316" s="7">
        <v>0.0</v>
      </c>
      <c r="F1316" s="8"/>
      <c r="G1316" s="6">
        <f t="shared" si="3"/>
        <v>1088</v>
      </c>
      <c r="H1316" s="6">
        <f t="shared" si="4"/>
        <v>12183</v>
      </c>
      <c r="I1316" s="6">
        <f t="shared" si="5"/>
        <v>21971</v>
      </c>
      <c r="J1316" s="6">
        <f t="shared" si="6"/>
        <v>60190</v>
      </c>
      <c r="K1316" s="9"/>
      <c r="L1316" s="9"/>
      <c r="M1316" s="9"/>
      <c r="N1316" s="9">
        <f t="shared" si="7"/>
        <v>9.706498952</v>
      </c>
      <c r="O1316" s="10">
        <f t="shared" si="8"/>
        <v>170.9834559</v>
      </c>
      <c r="P1316" s="9">
        <v>20.0</v>
      </c>
      <c r="Q1316" s="11" t="str">
        <f t="shared" si="9"/>
        <v>cobertura correcta</v>
      </c>
      <c r="R1316" s="12"/>
      <c r="S1316" s="8"/>
      <c r="T1316" s="12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ht="15.75" customHeight="1">
      <c r="A1317" s="5" t="s">
        <v>2513</v>
      </c>
      <c r="B1317" s="6" t="s">
        <v>2514</v>
      </c>
      <c r="C1317" s="6">
        <f t="shared" si="1"/>
        <v>3852</v>
      </c>
      <c r="D1317" s="6">
        <f t="shared" ref="D1317:D1360" si="71">RANDBETWEEN(0, 50)</f>
        <v>50</v>
      </c>
      <c r="E1317" s="7">
        <v>0.0</v>
      </c>
      <c r="F1317" s="8"/>
      <c r="G1317" s="6">
        <f t="shared" si="3"/>
        <v>1619</v>
      </c>
      <c r="H1317" s="6">
        <f t="shared" si="4"/>
        <v>12394</v>
      </c>
      <c r="I1317" s="6">
        <f t="shared" si="5"/>
        <v>24117</v>
      </c>
      <c r="J1317" s="6">
        <f t="shared" si="6"/>
        <v>60828</v>
      </c>
      <c r="K1317" s="9"/>
      <c r="L1317" s="9"/>
      <c r="M1317" s="9"/>
      <c r="N1317" s="9">
        <f t="shared" si="7"/>
        <v>15.79127726</v>
      </c>
      <c r="O1317" s="10">
        <f t="shared" si="8"/>
        <v>71.37739345</v>
      </c>
      <c r="P1317" s="9">
        <v>7.0</v>
      </c>
      <c r="Q1317" s="11" t="str">
        <f t="shared" si="9"/>
        <v>cobertura correcta</v>
      </c>
      <c r="R1317" s="12"/>
      <c r="S1317" s="8"/>
      <c r="T1317" s="12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</row>
    <row r="1318" ht="15.75" customHeight="1">
      <c r="A1318" s="5" t="s">
        <v>2515</v>
      </c>
      <c r="B1318" s="6"/>
      <c r="C1318" s="6">
        <f t="shared" si="1"/>
        <v>1473</v>
      </c>
      <c r="D1318" s="6">
        <f t="shared" si="71"/>
        <v>31</v>
      </c>
      <c r="E1318" s="7">
        <v>0.0</v>
      </c>
      <c r="F1318" s="8"/>
      <c r="G1318" s="6">
        <f t="shared" si="3"/>
        <v>5198</v>
      </c>
      <c r="H1318" s="6">
        <f t="shared" si="4"/>
        <v>14190</v>
      </c>
      <c r="I1318" s="6">
        <f t="shared" si="5"/>
        <v>28037</v>
      </c>
      <c r="J1318" s="6">
        <f t="shared" si="6"/>
        <v>73166</v>
      </c>
      <c r="K1318" s="9"/>
      <c r="L1318" s="9"/>
      <c r="M1318" s="9"/>
      <c r="N1318" s="9">
        <f t="shared" si="7"/>
        <v>49.67141887</v>
      </c>
      <c r="O1318" s="10">
        <f t="shared" si="8"/>
        <v>8.501346672</v>
      </c>
      <c r="P1318" s="9">
        <v>7.0</v>
      </c>
      <c r="Q1318" s="11" t="str">
        <f t="shared" si="9"/>
        <v>cobertura correcta</v>
      </c>
      <c r="R1318" s="12"/>
      <c r="S1318" s="8"/>
      <c r="T1318" s="12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</row>
    <row r="1319" ht="15.75" customHeight="1">
      <c r="A1319" s="5" t="s">
        <v>2516</v>
      </c>
      <c r="B1319" s="6"/>
      <c r="C1319" s="6">
        <f t="shared" si="1"/>
        <v>6600</v>
      </c>
      <c r="D1319" s="6">
        <f t="shared" si="71"/>
        <v>44</v>
      </c>
      <c r="E1319" s="7">
        <v>0.0</v>
      </c>
      <c r="F1319" s="8"/>
      <c r="G1319" s="6">
        <f t="shared" si="3"/>
        <v>6292</v>
      </c>
      <c r="H1319" s="6">
        <f t="shared" si="4"/>
        <v>14401</v>
      </c>
      <c r="I1319" s="6">
        <f t="shared" si="5"/>
        <v>27548</v>
      </c>
      <c r="J1319" s="6">
        <f t="shared" si="6"/>
        <v>74915</v>
      </c>
      <c r="K1319" s="9"/>
      <c r="L1319" s="9"/>
      <c r="M1319" s="9"/>
      <c r="N1319" s="9">
        <f t="shared" si="7"/>
        <v>11.35075758</v>
      </c>
      <c r="O1319" s="10">
        <f t="shared" si="8"/>
        <v>31.46853147</v>
      </c>
      <c r="P1319" s="9">
        <v>7.0</v>
      </c>
      <c r="Q1319" s="11" t="str">
        <f t="shared" si="9"/>
        <v>cobertura correcta</v>
      </c>
      <c r="R1319" s="12"/>
      <c r="S1319" s="8"/>
      <c r="T1319" s="12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</row>
    <row r="1320" ht="15.75" customHeight="1">
      <c r="A1320" s="5" t="s">
        <v>2517</v>
      </c>
      <c r="B1320" s="6"/>
      <c r="C1320" s="6">
        <f t="shared" si="1"/>
        <v>8729</v>
      </c>
      <c r="D1320" s="6">
        <f t="shared" si="71"/>
        <v>39</v>
      </c>
      <c r="E1320" s="7">
        <v>0.0</v>
      </c>
      <c r="F1320" s="8"/>
      <c r="G1320" s="6">
        <f t="shared" si="3"/>
        <v>8612</v>
      </c>
      <c r="H1320" s="6">
        <f t="shared" si="4"/>
        <v>12185</v>
      </c>
      <c r="I1320" s="6">
        <f t="shared" si="5"/>
        <v>27984</v>
      </c>
      <c r="J1320" s="6">
        <f t="shared" si="6"/>
        <v>81930</v>
      </c>
      <c r="K1320" s="9"/>
      <c r="L1320" s="9"/>
      <c r="M1320" s="9"/>
      <c r="N1320" s="9">
        <f t="shared" si="7"/>
        <v>9.385954863</v>
      </c>
      <c r="O1320" s="10">
        <f t="shared" si="8"/>
        <v>30.40757083</v>
      </c>
      <c r="P1320" s="9">
        <v>7.0</v>
      </c>
      <c r="Q1320" s="11" t="str">
        <f t="shared" si="9"/>
        <v>cobertura correcta</v>
      </c>
      <c r="R1320" s="12"/>
      <c r="S1320" s="8"/>
      <c r="T1320" s="12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</row>
    <row r="1321" ht="15.75" customHeight="1">
      <c r="A1321" s="5" t="s">
        <v>2518</v>
      </c>
      <c r="B1321" s="6" t="s">
        <v>2519</v>
      </c>
      <c r="C1321" s="6">
        <f t="shared" si="1"/>
        <v>8123</v>
      </c>
      <c r="D1321" s="6">
        <f t="shared" si="71"/>
        <v>43</v>
      </c>
      <c r="E1321" s="7">
        <v>0.0</v>
      </c>
      <c r="F1321" s="8"/>
      <c r="G1321" s="6">
        <f t="shared" si="3"/>
        <v>8651</v>
      </c>
      <c r="H1321" s="6">
        <f t="shared" si="4"/>
        <v>15070</v>
      </c>
      <c r="I1321" s="6">
        <f t="shared" si="5"/>
        <v>20300</v>
      </c>
      <c r="J1321" s="6">
        <f t="shared" si="6"/>
        <v>64175</v>
      </c>
      <c r="K1321" s="9"/>
      <c r="L1321" s="9"/>
      <c r="M1321" s="9"/>
      <c r="N1321" s="9">
        <f t="shared" si="7"/>
        <v>7.900406254</v>
      </c>
      <c r="O1321" s="10">
        <f t="shared" si="8"/>
        <v>28.1689978</v>
      </c>
      <c r="P1321" s="9">
        <v>7.0</v>
      </c>
      <c r="Q1321" s="11" t="str">
        <f t="shared" si="9"/>
        <v>cobertura correcta</v>
      </c>
      <c r="R1321" s="12"/>
      <c r="S1321" s="8"/>
      <c r="T1321" s="12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</row>
    <row r="1322" ht="15.75" customHeight="1">
      <c r="A1322" s="5" t="s">
        <v>2520</v>
      </c>
      <c r="B1322" s="6" t="s">
        <v>2521</v>
      </c>
      <c r="C1322" s="6">
        <f t="shared" si="1"/>
        <v>7219</v>
      </c>
      <c r="D1322" s="6">
        <f t="shared" si="71"/>
        <v>35</v>
      </c>
      <c r="E1322" s="7">
        <v>0.0</v>
      </c>
      <c r="F1322" s="8"/>
      <c r="G1322" s="6">
        <f t="shared" si="3"/>
        <v>4689</v>
      </c>
      <c r="H1322" s="6">
        <f t="shared" si="4"/>
        <v>17882</v>
      </c>
      <c r="I1322" s="6">
        <f t="shared" si="5"/>
        <v>28589</v>
      </c>
      <c r="J1322" s="6">
        <f t="shared" si="6"/>
        <v>94156</v>
      </c>
      <c r="K1322" s="9"/>
      <c r="L1322" s="9"/>
      <c r="M1322" s="9"/>
      <c r="N1322" s="9">
        <f t="shared" si="7"/>
        <v>13.04280371</v>
      </c>
      <c r="O1322" s="10">
        <f t="shared" si="8"/>
        <v>46.18682022</v>
      </c>
      <c r="P1322" s="9">
        <v>7.0</v>
      </c>
      <c r="Q1322" s="11" t="str">
        <f t="shared" si="9"/>
        <v>cobertura correcta</v>
      </c>
      <c r="R1322" s="12"/>
      <c r="S1322" s="8"/>
      <c r="T1322" s="12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</row>
    <row r="1323" ht="15.75" customHeight="1">
      <c r="A1323" s="5" t="s">
        <v>2522</v>
      </c>
      <c r="B1323" s="6" t="s">
        <v>2523</v>
      </c>
      <c r="C1323" s="6">
        <f t="shared" si="1"/>
        <v>4363</v>
      </c>
      <c r="D1323" s="6">
        <f t="shared" si="71"/>
        <v>40</v>
      </c>
      <c r="E1323" s="7">
        <v>0.0</v>
      </c>
      <c r="F1323" s="8"/>
      <c r="G1323" s="6">
        <f t="shared" si="3"/>
        <v>6839</v>
      </c>
      <c r="H1323" s="6">
        <f t="shared" si="4"/>
        <v>16711</v>
      </c>
      <c r="I1323" s="6">
        <f t="shared" si="5"/>
        <v>19701</v>
      </c>
      <c r="J1323" s="6">
        <f t="shared" si="6"/>
        <v>38351</v>
      </c>
      <c r="K1323" s="9"/>
      <c r="L1323" s="9"/>
      <c r="M1323" s="9"/>
      <c r="N1323" s="9">
        <f t="shared" si="7"/>
        <v>8.790052716</v>
      </c>
      <c r="O1323" s="10">
        <f t="shared" si="8"/>
        <v>19.13876298</v>
      </c>
      <c r="P1323" s="9">
        <v>30.0</v>
      </c>
      <c r="Q1323" s="11" t="str">
        <f t="shared" si="9"/>
        <v>¡Compra YA!</v>
      </c>
      <c r="R1323" s="12"/>
      <c r="S1323" s="8"/>
      <c r="T1323" s="12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</row>
    <row r="1324" ht="15.75" customHeight="1">
      <c r="A1324" s="5" t="s">
        <v>2524</v>
      </c>
      <c r="B1324" s="6" t="s">
        <v>2525</v>
      </c>
      <c r="C1324" s="6">
        <f t="shared" si="1"/>
        <v>8385</v>
      </c>
      <c r="D1324" s="6">
        <f t="shared" si="71"/>
        <v>43</v>
      </c>
      <c r="E1324" s="7">
        <v>0.0</v>
      </c>
      <c r="F1324" s="8"/>
      <c r="G1324" s="6">
        <f t="shared" si="3"/>
        <v>7219</v>
      </c>
      <c r="H1324" s="6">
        <f t="shared" si="4"/>
        <v>16578</v>
      </c>
      <c r="I1324" s="6">
        <f t="shared" si="5"/>
        <v>28464</v>
      </c>
      <c r="J1324" s="6">
        <f t="shared" si="6"/>
        <v>79935</v>
      </c>
      <c r="K1324" s="9"/>
      <c r="L1324" s="9"/>
      <c r="M1324" s="9"/>
      <c r="N1324" s="9">
        <f t="shared" si="7"/>
        <v>9.533094812</v>
      </c>
      <c r="O1324" s="10">
        <f t="shared" si="8"/>
        <v>34.84554647</v>
      </c>
      <c r="P1324" s="9">
        <v>7.0</v>
      </c>
      <c r="Q1324" s="11" t="str">
        <f t="shared" si="9"/>
        <v>cobertura correcta</v>
      </c>
      <c r="R1324" s="12"/>
      <c r="S1324" s="8"/>
      <c r="T1324" s="12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</row>
    <row r="1325" ht="15.75" customHeight="1">
      <c r="A1325" s="5" t="s">
        <v>2526</v>
      </c>
      <c r="B1325" s="6"/>
      <c r="C1325" s="6">
        <f t="shared" si="1"/>
        <v>4085</v>
      </c>
      <c r="D1325" s="6">
        <f t="shared" si="71"/>
        <v>3</v>
      </c>
      <c r="E1325" s="7">
        <v>0.0</v>
      </c>
      <c r="F1325" s="8"/>
      <c r="G1325" s="6">
        <f t="shared" si="3"/>
        <v>1106</v>
      </c>
      <c r="H1325" s="6">
        <f t="shared" si="4"/>
        <v>12031</v>
      </c>
      <c r="I1325" s="6">
        <f t="shared" si="5"/>
        <v>22320</v>
      </c>
      <c r="J1325" s="6">
        <f t="shared" si="6"/>
        <v>43109</v>
      </c>
      <c r="K1325" s="9"/>
      <c r="L1325" s="9"/>
      <c r="M1325" s="9"/>
      <c r="N1325" s="9">
        <f t="shared" si="7"/>
        <v>10.55299878</v>
      </c>
      <c r="O1325" s="10">
        <f t="shared" si="8"/>
        <v>110.8047016</v>
      </c>
      <c r="P1325" s="9">
        <v>7.0</v>
      </c>
      <c r="Q1325" s="11" t="str">
        <f t="shared" si="9"/>
        <v>cobertura correcta</v>
      </c>
      <c r="R1325" s="12"/>
      <c r="S1325" s="8"/>
      <c r="T1325" s="12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</row>
    <row r="1326" ht="15.75" customHeight="1">
      <c r="A1326" s="5" t="s">
        <v>2527</v>
      </c>
      <c r="B1326" s="6"/>
      <c r="C1326" s="6">
        <f t="shared" si="1"/>
        <v>4689</v>
      </c>
      <c r="D1326" s="6">
        <f t="shared" si="71"/>
        <v>26</v>
      </c>
      <c r="E1326" s="7">
        <v>0.0</v>
      </c>
      <c r="F1326" s="8"/>
      <c r="G1326" s="6">
        <f t="shared" si="3"/>
        <v>8999</v>
      </c>
      <c r="H1326" s="6">
        <f t="shared" si="4"/>
        <v>17688</v>
      </c>
      <c r="I1326" s="6">
        <f t="shared" si="5"/>
        <v>25762</v>
      </c>
      <c r="J1326" s="6">
        <f t="shared" si="6"/>
        <v>71258</v>
      </c>
      <c r="K1326" s="9"/>
      <c r="L1326" s="9"/>
      <c r="M1326" s="9"/>
      <c r="N1326" s="9">
        <f t="shared" si="7"/>
        <v>15.19684368</v>
      </c>
      <c r="O1326" s="10">
        <f t="shared" si="8"/>
        <v>15.63173686</v>
      </c>
      <c r="P1326" s="9">
        <v>15.0</v>
      </c>
      <c r="Q1326" s="11" t="str">
        <f t="shared" si="9"/>
        <v>cobertura correcta</v>
      </c>
      <c r="R1326" s="12"/>
      <c r="S1326" s="8"/>
      <c r="T1326" s="12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</row>
    <row r="1327" ht="15.75" customHeight="1">
      <c r="A1327" s="5" t="s">
        <v>2528</v>
      </c>
      <c r="B1327" s="6"/>
      <c r="C1327" s="6">
        <f t="shared" si="1"/>
        <v>8594</v>
      </c>
      <c r="D1327" s="6">
        <f t="shared" si="71"/>
        <v>25</v>
      </c>
      <c r="E1327" s="7">
        <v>0.0</v>
      </c>
      <c r="F1327" s="8"/>
      <c r="G1327" s="6">
        <f t="shared" si="3"/>
        <v>3336</v>
      </c>
      <c r="H1327" s="6">
        <f t="shared" si="4"/>
        <v>9015</v>
      </c>
      <c r="I1327" s="6">
        <f t="shared" si="5"/>
        <v>27309</v>
      </c>
      <c r="J1327" s="6">
        <f t="shared" si="6"/>
        <v>87307</v>
      </c>
      <c r="K1327" s="9"/>
      <c r="L1327" s="9"/>
      <c r="M1327" s="9"/>
      <c r="N1327" s="9">
        <f t="shared" si="7"/>
        <v>10.15906446</v>
      </c>
      <c r="O1327" s="10">
        <f t="shared" si="8"/>
        <v>77.28417266</v>
      </c>
      <c r="P1327" s="9">
        <v>7.0</v>
      </c>
      <c r="Q1327" s="11" t="str">
        <f t="shared" si="9"/>
        <v>cobertura correcta</v>
      </c>
      <c r="R1327" s="12"/>
      <c r="S1327" s="8"/>
      <c r="T1327" s="12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</row>
    <row r="1328" ht="15.75" customHeight="1">
      <c r="A1328" s="5" t="s">
        <v>2529</v>
      </c>
      <c r="B1328" s="6" t="s">
        <v>2530</v>
      </c>
      <c r="C1328" s="6">
        <f t="shared" si="1"/>
        <v>6532</v>
      </c>
      <c r="D1328" s="6">
        <f t="shared" si="71"/>
        <v>36</v>
      </c>
      <c r="E1328" s="7">
        <v>0.0</v>
      </c>
      <c r="F1328" s="8"/>
      <c r="G1328" s="6">
        <f t="shared" si="3"/>
        <v>1652</v>
      </c>
      <c r="H1328" s="6">
        <f t="shared" si="4"/>
        <v>17810</v>
      </c>
      <c r="I1328" s="6">
        <f t="shared" si="5"/>
        <v>20279</v>
      </c>
      <c r="J1328" s="6">
        <f t="shared" si="6"/>
        <v>30885</v>
      </c>
      <c r="K1328" s="9"/>
      <c r="L1328" s="9"/>
      <c r="M1328" s="9"/>
      <c r="N1328" s="9">
        <f t="shared" si="7"/>
        <v>4.72826087</v>
      </c>
      <c r="O1328" s="10">
        <f t="shared" si="8"/>
        <v>118.6198547</v>
      </c>
      <c r="P1328" s="9">
        <v>7.0</v>
      </c>
      <c r="Q1328" s="11" t="str">
        <f t="shared" si="9"/>
        <v>cobertura correcta</v>
      </c>
      <c r="R1328" s="12"/>
      <c r="S1328" s="8"/>
      <c r="T1328" s="12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</row>
    <row r="1329" ht="15.75" customHeight="1">
      <c r="A1329" s="5" t="s">
        <v>2531</v>
      </c>
      <c r="B1329" s="6" t="s">
        <v>2532</v>
      </c>
      <c r="C1329" s="6">
        <f t="shared" si="1"/>
        <v>3947</v>
      </c>
      <c r="D1329" s="6">
        <f t="shared" si="71"/>
        <v>7</v>
      </c>
      <c r="E1329" s="7">
        <v>0.0</v>
      </c>
      <c r="F1329" s="8"/>
      <c r="G1329" s="6">
        <f t="shared" si="3"/>
        <v>4528</v>
      </c>
      <c r="H1329" s="6">
        <f t="shared" si="4"/>
        <v>9578</v>
      </c>
      <c r="I1329" s="6">
        <f t="shared" si="5"/>
        <v>26545</v>
      </c>
      <c r="J1329" s="6">
        <f t="shared" si="6"/>
        <v>89597</v>
      </c>
      <c r="K1329" s="9"/>
      <c r="L1329" s="9"/>
      <c r="M1329" s="9"/>
      <c r="N1329" s="9">
        <f t="shared" si="7"/>
        <v>22.70002534</v>
      </c>
      <c r="O1329" s="10">
        <f t="shared" si="8"/>
        <v>26.15061837</v>
      </c>
      <c r="P1329" s="9">
        <v>7.0</v>
      </c>
      <c r="Q1329" s="11" t="str">
        <f t="shared" si="9"/>
        <v>cobertura correcta</v>
      </c>
      <c r="R1329" s="12"/>
      <c r="S1329" s="8"/>
      <c r="T1329" s="12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</row>
    <row r="1330" ht="15.75" customHeight="1">
      <c r="A1330" s="5" t="s">
        <v>2533</v>
      </c>
      <c r="B1330" s="6"/>
      <c r="C1330" s="6">
        <f t="shared" si="1"/>
        <v>8278</v>
      </c>
      <c r="D1330" s="6">
        <f t="shared" si="71"/>
        <v>13</v>
      </c>
      <c r="E1330" s="7">
        <v>0.0</v>
      </c>
      <c r="F1330" s="8"/>
      <c r="G1330" s="6">
        <f t="shared" si="3"/>
        <v>6829</v>
      </c>
      <c r="H1330" s="6">
        <f t="shared" si="4"/>
        <v>11611</v>
      </c>
      <c r="I1330" s="6">
        <f t="shared" si="5"/>
        <v>28953</v>
      </c>
      <c r="J1330" s="6">
        <f t="shared" si="6"/>
        <v>81958</v>
      </c>
      <c r="K1330" s="9"/>
      <c r="L1330" s="9"/>
      <c r="M1330" s="9"/>
      <c r="N1330" s="9">
        <f t="shared" si="7"/>
        <v>9.900700652</v>
      </c>
      <c r="O1330" s="10">
        <f t="shared" si="8"/>
        <v>36.36550007</v>
      </c>
      <c r="P1330" s="9">
        <v>7.0</v>
      </c>
      <c r="Q1330" s="11" t="str">
        <f t="shared" si="9"/>
        <v>cobertura correcta</v>
      </c>
      <c r="R1330" s="12"/>
      <c r="S1330" s="8"/>
      <c r="T1330" s="12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</row>
    <row r="1331" ht="15.75" customHeight="1">
      <c r="A1331" s="5" t="s">
        <v>2534</v>
      </c>
      <c r="B1331" s="6"/>
      <c r="C1331" s="6">
        <f t="shared" si="1"/>
        <v>8496</v>
      </c>
      <c r="D1331" s="6">
        <f t="shared" si="71"/>
        <v>37</v>
      </c>
      <c r="E1331" s="7">
        <v>0.0</v>
      </c>
      <c r="F1331" s="8"/>
      <c r="G1331" s="6">
        <f t="shared" si="3"/>
        <v>4032</v>
      </c>
      <c r="H1331" s="6">
        <f t="shared" si="4"/>
        <v>9375</v>
      </c>
      <c r="I1331" s="6">
        <f t="shared" si="5"/>
        <v>27066</v>
      </c>
      <c r="J1331" s="6">
        <f t="shared" si="6"/>
        <v>64653</v>
      </c>
      <c r="K1331" s="9"/>
      <c r="L1331" s="9"/>
      <c r="M1331" s="9"/>
      <c r="N1331" s="9">
        <f t="shared" si="7"/>
        <v>7.609816384</v>
      </c>
      <c r="O1331" s="10">
        <f t="shared" si="8"/>
        <v>63.21428571</v>
      </c>
      <c r="P1331" s="9">
        <v>7.0</v>
      </c>
      <c r="Q1331" s="11" t="str">
        <f t="shared" si="9"/>
        <v>cobertura correcta</v>
      </c>
      <c r="R1331" s="12"/>
      <c r="S1331" s="8"/>
      <c r="T1331" s="12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</row>
    <row r="1332" ht="15.75" customHeight="1">
      <c r="A1332" s="5" t="s">
        <v>2535</v>
      </c>
      <c r="B1332" s="6"/>
      <c r="C1332" s="6">
        <f t="shared" si="1"/>
        <v>4591</v>
      </c>
      <c r="D1332" s="6">
        <f t="shared" si="71"/>
        <v>27</v>
      </c>
      <c r="E1332" s="7">
        <v>0.0</v>
      </c>
      <c r="F1332" s="8"/>
      <c r="G1332" s="6">
        <f t="shared" si="3"/>
        <v>4467</v>
      </c>
      <c r="H1332" s="6">
        <f t="shared" si="4"/>
        <v>15407</v>
      </c>
      <c r="I1332" s="6">
        <f t="shared" si="5"/>
        <v>26790</v>
      </c>
      <c r="J1332" s="6">
        <f t="shared" si="6"/>
        <v>33641</v>
      </c>
      <c r="K1332" s="9"/>
      <c r="L1332" s="9"/>
      <c r="M1332" s="9"/>
      <c r="N1332" s="9">
        <f t="shared" si="7"/>
        <v>7.327597473</v>
      </c>
      <c r="O1332" s="10">
        <f t="shared" si="8"/>
        <v>30.83277367</v>
      </c>
      <c r="P1332" s="9">
        <v>7.0</v>
      </c>
      <c r="Q1332" s="11" t="str">
        <f t="shared" si="9"/>
        <v>cobertura correcta</v>
      </c>
      <c r="R1332" s="12"/>
      <c r="S1332" s="8"/>
      <c r="T1332" s="12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</row>
    <row r="1333" ht="15.75" customHeight="1">
      <c r="A1333" s="5" t="s">
        <v>2536</v>
      </c>
      <c r="B1333" s="6" t="s">
        <v>2537</v>
      </c>
      <c r="C1333" s="6">
        <f t="shared" si="1"/>
        <v>4099</v>
      </c>
      <c r="D1333" s="6">
        <f t="shared" si="71"/>
        <v>29</v>
      </c>
      <c r="E1333" s="7">
        <v>0.0</v>
      </c>
      <c r="F1333" s="8"/>
      <c r="G1333" s="6">
        <f t="shared" si="3"/>
        <v>1466</v>
      </c>
      <c r="H1333" s="6">
        <f t="shared" si="4"/>
        <v>15532</v>
      </c>
      <c r="I1333" s="6">
        <f t="shared" si="5"/>
        <v>21065</v>
      </c>
      <c r="J1333" s="6">
        <f t="shared" si="6"/>
        <v>84521</v>
      </c>
      <c r="K1333" s="9"/>
      <c r="L1333" s="9"/>
      <c r="M1333" s="9"/>
      <c r="N1333" s="9">
        <f t="shared" si="7"/>
        <v>20.61990729</v>
      </c>
      <c r="O1333" s="10">
        <f t="shared" si="8"/>
        <v>83.88130969</v>
      </c>
      <c r="P1333" s="9">
        <v>15.0</v>
      </c>
      <c r="Q1333" s="11" t="str">
        <f t="shared" si="9"/>
        <v>cobertura correcta</v>
      </c>
      <c r="R1333" s="12"/>
      <c r="S1333" s="8"/>
      <c r="T1333" s="12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</row>
    <row r="1334" ht="15.75" customHeight="1">
      <c r="A1334" s="5" t="s">
        <v>2538</v>
      </c>
      <c r="B1334" s="6" t="s">
        <v>2539</v>
      </c>
      <c r="C1334" s="6">
        <f t="shared" si="1"/>
        <v>2407</v>
      </c>
      <c r="D1334" s="6">
        <f t="shared" si="71"/>
        <v>11</v>
      </c>
      <c r="E1334" s="7">
        <v>0.0</v>
      </c>
      <c r="F1334" s="8"/>
      <c r="G1334" s="6">
        <f t="shared" si="3"/>
        <v>7029</v>
      </c>
      <c r="H1334" s="6">
        <f t="shared" si="4"/>
        <v>9193</v>
      </c>
      <c r="I1334" s="6">
        <f t="shared" si="5"/>
        <v>22674</v>
      </c>
      <c r="J1334" s="6">
        <f t="shared" si="6"/>
        <v>48066</v>
      </c>
      <c r="K1334" s="9"/>
      <c r="L1334" s="9"/>
      <c r="M1334" s="9"/>
      <c r="N1334" s="9">
        <f t="shared" si="7"/>
        <v>19.96925634</v>
      </c>
      <c r="O1334" s="10">
        <f t="shared" si="8"/>
        <v>10.27315408</v>
      </c>
      <c r="P1334" s="9">
        <v>15.0</v>
      </c>
      <c r="Q1334" s="11" t="str">
        <f t="shared" si="9"/>
        <v>¡Compra YA!</v>
      </c>
      <c r="R1334" s="12"/>
      <c r="S1334" s="8"/>
      <c r="T1334" s="12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</row>
    <row r="1335" ht="15.75" customHeight="1">
      <c r="A1335" s="5" t="s">
        <v>2540</v>
      </c>
      <c r="B1335" s="6" t="s">
        <v>2541</v>
      </c>
      <c r="C1335" s="6">
        <f t="shared" si="1"/>
        <v>1830</v>
      </c>
      <c r="D1335" s="6">
        <f t="shared" si="71"/>
        <v>27</v>
      </c>
      <c r="E1335" s="7">
        <v>0.0</v>
      </c>
      <c r="F1335" s="8"/>
      <c r="G1335" s="6">
        <f t="shared" si="3"/>
        <v>8881</v>
      </c>
      <c r="H1335" s="6">
        <f t="shared" si="4"/>
        <v>14278</v>
      </c>
      <c r="I1335" s="6">
        <f t="shared" si="5"/>
        <v>24589</v>
      </c>
      <c r="J1335" s="6">
        <f t="shared" si="6"/>
        <v>70053</v>
      </c>
      <c r="K1335" s="9"/>
      <c r="L1335" s="9"/>
      <c r="M1335" s="9"/>
      <c r="N1335" s="9">
        <f t="shared" si="7"/>
        <v>38.28032787</v>
      </c>
      <c r="O1335" s="10">
        <f t="shared" si="8"/>
        <v>6.181736291</v>
      </c>
      <c r="P1335" s="9">
        <v>15.0</v>
      </c>
      <c r="Q1335" s="11" t="str">
        <f t="shared" si="9"/>
        <v>¡Compra YA!</v>
      </c>
      <c r="R1335" s="12"/>
      <c r="S1335" s="8"/>
      <c r="T1335" s="12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ht="15.75" customHeight="1">
      <c r="A1336" s="5" t="s">
        <v>2542</v>
      </c>
      <c r="B1336" s="6" t="s">
        <v>2543</v>
      </c>
      <c r="C1336" s="6">
        <f t="shared" si="1"/>
        <v>5194</v>
      </c>
      <c r="D1336" s="6">
        <f t="shared" si="71"/>
        <v>18</v>
      </c>
      <c r="E1336" s="7">
        <v>0.0</v>
      </c>
      <c r="F1336" s="8"/>
      <c r="G1336" s="6">
        <f t="shared" si="3"/>
        <v>4255</v>
      </c>
      <c r="H1336" s="6">
        <f t="shared" si="4"/>
        <v>12068</v>
      </c>
      <c r="I1336" s="6">
        <f t="shared" si="5"/>
        <v>26919</v>
      </c>
      <c r="J1336" s="6">
        <f t="shared" si="6"/>
        <v>66912</v>
      </c>
      <c r="K1336" s="9"/>
      <c r="L1336" s="9"/>
      <c r="M1336" s="9"/>
      <c r="N1336" s="9">
        <f t="shared" si="7"/>
        <v>12.8825568</v>
      </c>
      <c r="O1336" s="10">
        <f t="shared" si="8"/>
        <v>36.62044653</v>
      </c>
      <c r="P1336" s="9">
        <v>15.0</v>
      </c>
      <c r="Q1336" s="11" t="str">
        <f t="shared" si="9"/>
        <v>cobertura correcta</v>
      </c>
      <c r="R1336" s="12"/>
      <c r="S1336" s="8"/>
      <c r="T1336" s="12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ht="15.75" customHeight="1">
      <c r="A1337" s="5" t="s">
        <v>2544</v>
      </c>
      <c r="B1337" s="6"/>
      <c r="C1337" s="6">
        <f t="shared" si="1"/>
        <v>4410</v>
      </c>
      <c r="D1337" s="6">
        <f t="shared" si="71"/>
        <v>21</v>
      </c>
      <c r="E1337" s="7">
        <v>0.0</v>
      </c>
      <c r="F1337" s="8"/>
      <c r="G1337" s="6">
        <f t="shared" si="3"/>
        <v>8000</v>
      </c>
      <c r="H1337" s="6">
        <f t="shared" si="4"/>
        <v>17088</v>
      </c>
      <c r="I1337" s="6">
        <f t="shared" si="5"/>
        <v>23527</v>
      </c>
      <c r="J1337" s="6">
        <f t="shared" si="6"/>
        <v>94056</v>
      </c>
      <c r="K1337" s="9"/>
      <c r="L1337" s="9"/>
      <c r="M1337" s="9"/>
      <c r="N1337" s="9">
        <f t="shared" si="7"/>
        <v>21.32789116</v>
      </c>
      <c r="O1337" s="10">
        <f t="shared" si="8"/>
        <v>16.5375</v>
      </c>
      <c r="P1337" s="9">
        <v>30.0</v>
      </c>
      <c r="Q1337" s="11" t="str">
        <f t="shared" si="9"/>
        <v>¡Compra YA!</v>
      </c>
      <c r="R1337" s="12"/>
      <c r="S1337" s="8"/>
      <c r="T1337" s="12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ht="15.75" customHeight="1">
      <c r="A1338" s="5" t="s">
        <v>2545</v>
      </c>
      <c r="B1338" s="6" t="s">
        <v>2546</v>
      </c>
      <c r="C1338" s="6">
        <f t="shared" si="1"/>
        <v>8383</v>
      </c>
      <c r="D1338" s="6">
        <f t="shared" si="71"/>
        <v>27</v>
      </c>
      <c r="E1338" s="7">
        <v>0.0</v>
      </c>
      <c r="F1338" s="8"/>
      <c r="G1338" s="6">
        <f t="shared" si="3"/>
        <v>7177</v>
      </c>
      <c r="H1338" s="6">
        <f t="shared" si="4"/>
        <v>15777</v>
      </c>
      <c r="I1338" s="6">
        <f t="shared" si="5"/>
        <v>23091</v>
      </c>
      <c r="J1338" s="6">
        <f t="shared" si="6"/>
        <v>47436</v>
      </c>
      <c r="K1338" s="9"/>
      <c r="L1338" s="9"/>
      <c r="M1338" s="9"/>
      <c r="N1338" s="9">
        <f t="shared" si="7"/>
        <v>5.658594775</v>
      </c>
      <c r="O1338" s="10">
        <f t="shared" si="8"/>
        <v>35.04110353</v>
      </c>
      <c r="P1338" s="9">
        <v>15.0</v>
      </c>
      <c r="Q1338" s="11" t="str">
        <f t="shared" si="9"/>
        <v>cobertura correcta</v>
      </c>
      <c r="R1338" s="12"/>
      <c r="S1338" s="8"/>
      <c r="T1338" s="12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ht="15.75" customHeight="1">
      <c r="A1339" s="5" t="s">
        <v>2547</v>
      </c>
      <c r="B1339" s="6" t="s">
        <v>2548</v>
      </c>
      <c r="C1339" s="6">
        <f t="shared" si="1"/>
        <v>2097</v>
      </c>
      <c r="D1339" s="6">
        <f t="shared" si="71"/>
        <v>35</v>
      </c>
      <c r="E1339" s="7">
        <v>0.0</v>
      </c>
      <c r="F1339" s="8"/>
      <c r="G1339" s="6">
        <f t="shared" si="3"/>
        <v>3080</v>
      </c>
      <c r="H1339" s="6">
        <f t="shared" si="4"/>
        <v>14497</v>
      </c>
      <c r="I1339" s="6">
        <f t="shared" si="5"/>
        <v>23106</v>
      </c>
      <c r="J1339" s="6">
        <f t="shared" si="6"/>
        <v>40954</v>
      </c>
      <c r="K1339" s="9"/>
      <c r="L1339" s="9"/>
      <c r="M1339" s="9"/>
      <c r="N1339" s="9">
        <f t="shared" si="7"/>
        <v>19.52980448</v>
      </c>
      <c r="O1339" s="10">
        <f t="shared" si="8"/>
        <v>20.42532468</v>
      </c>
      <c r="P1339" s="9">
        <v>15.0</v>
      </c>
      <c r="Q1339" s="11" t="str">
        <f t="shared" si="9"/>
        <v>cobertura correcta</v>
      </c>
      <c r="R1339" s="12"/>
      <c r="S1339" s="8"/>
      <c r="T1339" s="12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</row>
    <row r="1340" ht="15.75" customHeight="1">
      <c r="A1340" s="5" t="s">
        <v>2549</v>
      </c>
      <c r="B1340" s="6" t="s">
        <v>2550</v>
      </c>
      <c r="C1340" s="6">
        <f t="shared" si="1"/>
        <v>4471</v>
      </c>
      <c r="D1340" s="6">
        <f t="shared" si="71"/>
        <v>2</v>
      </c>
      <c r="E1340" s="7">
        <v>0.0</v>
      </c>
      <c r="F1340" s="8"/>
      <c r="G1340" s="6">
        <f t="shared" si="3"/>
        <v>6814</v>
      </c>
      <c r="H1340" s="6">
        <f t="shared" si="4"/>
        <v>12549</v>
      </c>
      <c r="I1340" s="6">
        <f t="shared" si="5"/>
        <v>22737</v>
      </c>
      <c r="J1340" s="6">
        <f t="shared" si="6"/>
        <v>98217</v>
      </c>
      <c r="K1340" s="9"/>
      <c r="L1340" s="9"/>
      <c r="M1340" s="9"/>
      <c r="N1340" s="9">
        <f t="shared" si="7"/>
        <v>21.96756878</v>
      </c>
      <c r="O1340" s="10">
        <f t="shared" si="8"/>
        <v>19.68447314</v>
      </c>
      <c r="P1340" s="9">
        <v>15.0</v>
      </c>
      <c r="Q1340" s="11" t="str">
        <f t="shared" si="9"/>
        <v>cobertura correcta</v>
      </c>
      <c r="R1340" s="12"/>
      <c r="S1340" s="8"/>
      <c r="T1340" s="12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ht="15.75" customHeight="1">
      <c r="A1341" s="5" t="s">
        <v>2551</v>
      </c>
      <c r="B1341" s="6" t="s">
        <v>2552</v>
      </c>
      <c r="C1341" s="6">
        <f t="shared" si="1"/>
        <v>1589</v>
      </c>
      <c r="D1341" s="6">
        <f t="shared" si="71"/>
        <v>30</v>
      </c>
      <c r="E1341" s="7">
        <v>0.0</v>
      </c>
      <c r="F1341" s="8"/>
      <c r="G1341" s="6">
        <f t="shared" si="3"/>
        <v>2498</v>
      </c>
      <c r="H1341" s="6">
        <f t="shared" si="4"/>
        <v>13592</v>
      </c>
      <c r="I1341" s="6">
        <f t="shared" si="5"/>
        <v>19269</v>
      </c>
      <c r="J1341" s="6">
        <f t="shared" si="6"/>
        <v>61299</v>
      </c>
      <c r="K1341" s="9"/>
      <c r="L1341" s="9"/>
      <c r="M1341" s="9"/>
      <c r="N1341" s="9">
        <f t="shared" si="7"/>
        <v>38.57709251</v>
      </c>
      <c r="O1341" s="10">
        <f t="shared" si="8"/>
        <v>19.08326661</v>
      </c>
      <c r="P1341" s="9">
        <v>15.0</v>
      </c>
      <c r="Q1341" s="11" t="str">
        <f t="shared" si="9"/>
        <v>cobertura correcta</v>
      </c>
      <c r="R1341" s="12"/>
      <c r="S1341" s="8"/>
      <c r="T1341" s="12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ht="15.75" customHeight="1">
      <c r="A1342" s="5" t="s">
        <v>2553</v>
      </c>
      <c r="B1342" s="6" t="s">
        <v>2554</v>
      </c>
      <c r="C1342" s="6">
        <f t="shared" si="1"/>
        <v>4248</v>
      </c>
      <c r="D1342" s="6">
        <f t="shared" si="71"/>
        <v>18</v>
      </c>
      <c r="E1342" s="7">
        <v>0.0</v>
      </c>
      <c r="F1342" s="8"/>
      <c r="G1342" s="6">
        <f t="shared" si="3"/>
        <v>5533</v>
      </c>
      <c r="H1342" s="6">
        <f t="shared" si="4"/>
        <v>17960</v>
      </c>
      <c r="I1342" s="6">
        <f t="shared" si="5"/>
        <v>27898</v>
      </c>
      <c r="J1342" s="6">
        <f t="shared" si="6"/>
        <v>37956</v>
      </c>
      <c r="K1342" s="9"/>
      <c r="L1342" s="9"/>
      <c r="M1342" s="9"/>
      <c r="N1342" s="9">
        <f t="shared" si="7"/>
        <v>8.935028249</v>
      </c>
      <c r="O1342" s="10">
        <f t="shared" si="8"/>
        <v>23.03271281</v>
      </c>
      <c r="P1342" s="9">
        <v>7.0</v>
      </c>
      <c r="Q1342" s="11" t="str">
        <f t="shared" si="9"/>
        <v>cobertura correcta</v>
      </c>
      <c r="R1342" s="12"/>
      <c r="S1342" s="8"/>
      <c r="T1342" s="12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</row>
    <row r="1343" ht="15.75" customHeight="1">
      <c r="A1343" s="5" t="s">
        <v>2555</v>
      </c>
      <c r="B1343" s="6" t="s">
        <v>2556</v>
      </c>
      <c r="C1343" s="6">
        <f t="shared" si="1"/>
        <v>5904</v>
      </c>
      <c r="D1343" s="6">
        <f t="shared" si="71"/>
        <v>13</v>
      </c>
      <c r="E1343" s="7">
        <v>0.0</v>
      </c>
      <c r="F1343" s="8"/>
      <c r="G1343" s="6">
        <f t="shared" si="3"/>
        <v>4632</v>
      </c>
      <c r="H1343" s="6">
        <f t="shared" si="4"/>
        <v>12265</v>
      </c>
      <c r="I1343" s="6">
        <f t="shared" si="5"/>
        <v>19829</v>
      </c>
      <c r="J1343" s="6">
        <f t="shared" si="6"/>
        <v>58622</v>
      </c>
      <c r="K1343" s="9"/>
      <c r="L1343" s="9"/>
      <c r="M1343" s="9"/>
      <c r="N1343" s="9">
        <f t="shared" si="7"/>
        <v>9.929200542</v>
      </c>
      <c r="O1343" s="10">
        <f t="shared" si="8"/>
        <v>38.23834197</v>
      </c>
      <c r="P1343" s="9">
        <v>7.0</v>
      </c>
      <c r="Q1343" s="11" t="str">
        <f t="shared" si="9"/>
        <v>cobertura correcta</v>
      </c>
      <c r="R1343" s="12"/>
      <c r="S1343" s="8"/>
      <c r="T1343" s="12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ht="15.75" customHeight="1">
      <c r="A1344" s="5" t="s">
        <v>2557</v>
      </c>
      <c r="B1344" s="6" t="s">
        <v>2558</v>
      </c>
      <c r="C1344" s="6">
        <f t="shared" si="1"/>
        <v>6693</v>
      </c>
      <c r="D1344" s="6">
        <f t="shared" si="71"/>
        <v>16</v>
      </c>
      <c r="E1344" s="7">
        <v>0.0</v>
      </c>
      <c r="F1344" s="8"/>
      <c r="G1344" s="6">
        <f t="shared" si="3"/>
        <v>8663</v>
      </c>
      <c r="H1344" s="6">
        <f t="shared" si="4"/>
        <v>12156</v>
      </c>
      <c r="I1344" s="6">
        <f t="shared" si="5"/>
        <v>21589</v>
      </c>
      <c r="J1344" s="6">
        <f t="shared" si="6"/>
        <v>90517</v>
      </c>
      <c r="K1344" s="9"/>
      <c r="L1344" s="9"/>
      <c r="M1344" s="9"/>
      <c r="N1344" s="9">
        <f t="shared" si="7"/>
        <v>13.52412969</v>
      </c>
      <c r="O1344" s="10">
        <f t="shared" si="8"/>
        <v>23.17788295</v>
      </c>
      <c r="P1344" s="9">
        <v>7.0</v>
      </c>
      <c r="Q1344" s="11" t="str">
        <f t="shared" si="9"/>
        <v>cobertura correcta</v>
      </c>
      <c r="R1344" s="12"/>
      <c r="S1344" s="8"/>
      <c r="T1344" s="12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ht="15.75" customHeight="1">
      <c r="A1345" s="5" t="s">
        <v>2559</v>
      </c>
      <c r="B1345" s="6" t="s">
        <v>2560</v>
      </c>
      <c r="C1345" s="6">
        <f t="shared" si="1"/>
        <v>3794</v>
      </c>
      <c r="D1345" s="6">
        <f t="shared" si="71"/>
        <v>19</v>
      </c>
      <c r="E1345" s="7">
        <v>0.0</v>
      </c>
      <c r="F1345" s="8"/>
      <c r="G1345" s="6">
        <f t="shared" si="3"/>
        <v>7614</v>
      </c>
      <c r="H1345" s="6">
        <f t="shared" si="4"/>
        <v>9572</v>
      </c>
      <c r="I1345" s="6">
        <f t="shared" si="5"/>
        <v>23575</v>
      </c>
      <c r="J1345" s="6">
        <f t="shared" si="6"/>
        <v>95740</v>
      </c>
      <c r="K1345" s="9"/>
      <c r="L1345" s="9"/>
      <c r="M1345" s="9"/>
      <c r="N1345" s="9">
        <f t="shared" si="7"/>
        <v>25.23458092</v>
      </c>
      <c r="O1345" s="10">
        <f t="shared" si="8"/>
        <v>14.94877857</v>
      </c>
      <c r="P1345" s="9">
        <v>7.0</v>
      </c>
      <c r="Q1345" s="11" t="str">
        <f t="shared" si="9"/>
        <v>cobertura correcta</v>
      </c>
      <c r="R1345" s="12"/>
      <c r="S1345" s="8"/>
      <c r="T1345" s="12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</row>
    <row r="1346" ht="15.75" customHeight="1">
      <c r="A1346" s="5" t="s">
        <v>2561</v>
      </c>
      <c r="B1346" s="6" t="s">
        <v>2562</v>
      </c>
      <c r="C1346" s="6">
        <f t="shared" si="1"/>
        <v>4434</v>
      </c>
      <c r="D1346" s="6">
        <f t="shared" si="71"/>
        <v>25</v>
      </c>
      <c r="E1346" s="7">
        <v>0.0</v>
      </c>
      <c r="F1346" s="8"/>
      <c r="G1346" s="6">
        <f t="shared" si="3"/>
        <v>3300</v>
      </c>
      <c r="H1346" s="6">
        <f t="shared" si="4"/>
        <v>14181</v>
      </c>
      <c r="I1346" s="6">
        <f t="shared" si="5"/>
        <v>21943</v>
      </c>
      <c r="J1346" s="6">
        <f t="shared" si="6"/>
        <v>77917</v>
      </c>
      <c r="K1346" s="9"/>
      <c r="L1346" s="9"/>
      <c r="M1346" s="9"/>
      <c r="N1346" s="9">
        <f t="shared" si="7"/>
        <v>17.57262066</v>
      </c>
      <c r="O1346" s="10">
        <f t="shared" si="8"/>
        <v>40.30909091</v>
      </c>
      <c r="P1346" s="9">
        <v>20.0</v>
      </c>
      <c r="Q1346" s="11" t="str">
        <f t="shared" si="9"/>
        <v>cobertura correcta</v>
      </c>
      <c r="R1346" s="12"/>
      <c r="S1346" s="8"/>
      <c r="T1346" s="12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</row>
    <row r="1347" ht="15.75" customHeight="1">
      <c r="A1347" s="5" t="s">
        <v>2563</v>
      </c>
      <c r="B1347" s="6" t="s">
        <v>2564</v>
      </c>
      <c r="C1347" s="6">
        <f t="shared" si="1"/>
        <v>6536</v>
      </c>
      <c r="D1347" s="6">
        <f t="shared" si="71"/>
        <v>25</v>
      </c>
      <c r="E1347" s="7">
        <v>0.0</v>
      </c>
      <c r="F1347" s="8"/>
      <c r="G1347" s="6">
        <f t="shared" si="3"/>
        <v>2420</v>
      </c>
      <c r="H1347" s="6">
        <f t="shared" si="4"/>
        <v>12563</v>
      </c>
      <c r="I1347" s="6">
        <f t="shared" si="5"/>
        <v>23318</v>
      </c>
      <c r="J1347" s="6">
        <f t="shared" si="6"/>
        <v>78830</v>
      </c>
      <c r="K1347" s="9"/>
      <c r="L1347" s="9"/>
      <c r="M1347" s="9"/>
      <c r="N1347" s="9">
        <f t="shared" si="7"/>
        <v>12.06089351</v>
      </c>
      <c r="O1347" s="10">
        <f t="shared" si="8"/>
        <v>81.02479339</v>
      </c>
      <c r="P1347" s="9">
        <v>7.0</v>
      </c>
      <c r="Q1347" s="11" t="str">
        <f t="shared" si="9"/>
        <v>cobertura correcta</v>
      </c>
      <c r="R1347" s="12"/>
      <c r="S1347" s="8"/>
      <c r="T1347" s="12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</row>
    <row r="1348" ht="15.75" customHeight="1">
      <c r="A1348" s="5" t="s">
        <v>2565</v>
      </c>
      <c r="B1348" s="6"/>
      <c r="C1348" s="6">
        <f t="shared" si="1"/>
        <v>7377</v>
      </c>
      <c r="D1348" s="6">
        <f t="shared" si="71"/>
        <v>35</v>
      </c>
      <c r="E1348" s="7">
        <v>0.0</v>
      </c>
      <c r="F1348" s="8"/>
      <c r="G1348" s="6">
        <f t="shared" si="3"/>
        <v>4695</v>
      </c>
      <c r="H1348" s="6">
        <f t="shared" si="4"/>
        <v>13158</v>
      </c>
      <c r="I1348" s="6">
        <f t="shared" si="5"/>
        <v>26914</v>
      </c>
      <c r="J1348" s="6">
        <f t="shared" si="6"/>
        <v>67964</v>
      </c>
      <c r="K1348" s="9"/>
      <c r="L1348" s="9"/>
      <c r="M1348" s="9"/>
      <c r="N1348" s="9">
        <f t="shared" si="7"/>
        <v>9.212959198</v>
      </c>
      <c r="O1348" s="10">
        <f t="shared" si="8"/>
        <v>47.13738019</v>
      </c>
      <c r="P1348" s="9">
        <v>7.0</v>
      </c>
      <c r="Q1348" s="11" t="str">
        <f t="shared" si="9"/>
        <v>cobertura correcta</v>
      </c>
      <c r="R1348" s="12"/>
      <c r="S1348" s="8"/>
      <c r="T1348" s="12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</row>
    <row r="1349" ht="15.75" customHeight="1">
      <c r="A1349" s="5" t="s">
        <v>2566</v>
      </c>
      <c r="B1349" s="6"/>
      <c r="C1349" s="6">
        <f t="shared" si="1"/>
        <v>7677</v>
      </c>
      <c r="D1349" s="6">
        <f t="shared" si="71"/>
        <v>18</v>
      </c>
      <c r="E1349" s="7">
        <v>0.0</v>
      </c>
      <c r="F1349" s="8"/>
      <c r="G1349" s="6">
        <f t="shared" si="3"/>
        <v>5346</v>
      </c>
      <c r="H1349" s="6">
        <f t="shared" si="4"/>
        <v>11143</v>
      </c>
      <c r="I1349" s="6">
        <f t="shared" si="5"/>
        <v>26830</v>
      </c>
      <c r="J1349" s="6">
        <f t="shared" si="6"/>
        <v>76180</v>
      </c>
      <c r="K1349" s="9"/>
      <c r="L1349" s="9"/>
      <c r="M1349" s="9"/>
      <c r="N1349" s="9">
        <f t="shared" si="7"/>
        <v>9.923147063</v>
      </c>
      <c r="O1349" s="10">
        <f t="shared" si="8"/>
        <v>43.08080808</v>
      </c>
      <c r="P1349" s="9">
        <v>15.0</v>
      </c>
      <c r="Q1349" s="11" t="str">
        <f t="shared" si="9"/>
        <v>cobertura correcta</v>
      </c>
      <c r="R1349" s="12"/>
      <c r="S1349" s="8"/>
      <c r="T1349" s="12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</row>
    <row r="1350" ht="15.75" customHeight="1">
      <c r="A1350" s="5" t="s">
        <v>2567</v>
      </c>
      <c r="B1350" s="6"/>
      <c r="C1350" s="6">
        <f t="shared" si="1"/>
        <v>5480</v>
      </c>
      <c r="D1350" s="6">
        <f t="shared" si="71"/>
        <v>6</v>
      </c>
      <c r="E1350" s="7">
        <v>0.0</v>
      </c>
      <c r="F1350" s="8"/>
      <c r="G1350" s="6">
        <f t="shared" si="3"/>
        <v>6121</v>
      </c>
      <c r="H1350" s="6">
        <f t="shared" si="4"/>
        <v>16586</v>
      </c>
      <c r="I1350" s="6">
        <f t="shared" si="5"/>
        <v>26124</v>
      </c>
      <c r="J1350" s="6">
        <f t="shared" si="6"/>
        <v>34859</v>
      </c>
      <c r="K1350" s="9"/>
      <c r="L1350" s="9"/>
      <c r="M1350" s="9"/>
      <c r="N1350" s="9">
        <f t="shared" si="7"/>
        <v>6.361131387</v>
      </c>
      <c r="O1350" s="10">
        <f t="shared" si="8"/>
        <v>26.85835648</v>
      </c>
      <c r="P1350" s="9">
        <v>15.0</v>
      </c>
      <c r="Q1350" s="11" t="str">
        <f t="shared" si="9"/>
        <v>cobertura correcta</v>
      </c>
      <c r="R1350" s="12"/>
      <c r="S1350" s="8"/>
      <c r="T1350" s="12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</row>
    <row r="1351" ht="15.75" customHeight="1">
      <c r="A1351" s="5" t="s">
        <v>2568</v>
      </c>
      <c r="B1351" s="6" t="s">
        <v>2569</v>
      </c>
      <c r="C1351" s="6">
        <f t="shared" si="1"/>
        <v>7367</v>
      </c>
      <c r="D1351" s="6">
        <f t="shared" si="71"/>
        <v>36</v>
      </c>
      <c r="E1351" s="7">
        <v>0.0</v>
      </c>
      <c r="F1351" s="8"/>
      <c r="G1351" s="6">
        <f t="shared" si="3"/>
        <v>4863</v>
      </c>
      <c r="H1351" s="6">
        <f t="shared" si="4"/>
        <v>11091</v>
      </c>
      <c r="I1351" s="6">
        <f t="shared" si="5"/>
        <v>28450</v>
      </c>
      <c r="J1351" s="6">
        <f t="shared" si="6"/>
        <v>61608</v>
      </c>
      <c r="K1351" s="9"/>
      <c r="L1351" s="9"/>
      <c r="M1351" s="9"/>
      <c r="N1351" s="9">
        <f t="shared" si="7"/>
        <v>8.36269852</v>
      </c>
      <c r="O1351" s="10">
        <f t="shared" si="8"/>
        <v>45.44725478</v>
      </c>
      <c r="P1351" s="9">
        <v>7.0</v>
      </c>
      <c r="Q1351" s="11" t="str">
        <f t="shared" si="9"/>
        <v>cobertura correcta</v>
      </c>
      <c r="R1351" s="12"/>
      <c r="S1351" s="8"/>
      <c r="T1351" s="12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</row>
    <row r="1352" ht="15.75" customHeight="1">
      <c r="A1352" s="5" t="s">
        <v>2570</v>
      </c>
      <c r="B1352" s="6" t="s">
        <v>2571</v>
      </c>
      <c r="C1352" s="6">
        <f t="shared" si="1"/>
        <v>1163</v>
      </c>
      <c r="D1352" s="6">
        <f t="shared" si="71"/>
        <v>41</v>
      </c>
      <c r="E1352" s="7">
        <v>0.0</v>
      </c>
      <c r="F1352" s="8"/>
      <c r="G1352" s="6">
        <f t="shared" si="3"/>
        <v>7350</v>
      </c>
      <c r="H1352" s="6">
        <f t="shared" si="4"/>
        <v>12904</v>
      </c>
      <c r="I1352" s="6">
        <f t="shared" si="5"/>
        <v>26557</v>
      </c>
      <c r="J1352" s="6">
        <f t="shared" si="6"/>
        <v>30633</v>
      </c>
      <c r="K1352" s="9"/>
      <c r="L1352" s="9"/>
      <c r="M1352" s="9"/>
      <c r="N1352" s="9">
        <f t="shared" si="7"/>
        <v>26.33963887</v>
      </c>
      <c r="O1352" s="10">
        <f t="shared" si="8"/>
        <v>4.746938776</v>
      </c>
      <c r="P1352" s="9">
        <v>20.0</v>
      </c>
      <c r="Q1352" s="11" t="str">
        <f t="shared" si="9"/>
        <v>¡Compra YA!</v>
      </c>
      <c r="R1352" s="12"/>
      <c r="S1352" s="8"/>
      <c r="T1352" s="12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</row>
    <row r="1353" ht="15.75" customHeight="1">
      <c r="A1353" s="5" t="s">
        <v>2572</v>
      </c>
      <c r="B1353" s="6" t="s">
        <v>2573</v>
      </c>
      <c r="C1353" s="6">
        <f t="shared" si="1"/>
        <v>2253</v>
      </c>
      <c r="D1353" s="6">
        <f t="shared" si="71"/>
        <v>38</v>
      </c>
      <c r="E1353" s="7">
        <v>0.0</v>
      </c>
      <c r="F1353" s="8"/>
      <c r="G1353" s="6">
        <f t="shared" si="3"/>
        <v>3247</v>
      </c>
      <c r="H1353" s="6">
        <f t="shared" si="4"/>
        <v>13251</v>
      </c>
      <c r="I1353" s="6">
        <f t="shared" si="5"/>
        <v>25570</v>
      </c>
      <c r="J1353" s="6">
        <f t="shared" si="6"/>
        <v>96785</v>
      </c>
      <c r="K1353" s="9"/>
      <c r="L1353" s="9"/>
      <c r="M1353" s="9"/>
      <c r="N1353" s="9">
        <f t="shared" si="7"/>
        <v>42.95827785</v>
      </c>
      <c r="O1353" s="10">
        <f t="shared" si="8"/>
        <v>20.81613797</v>
      </c>
      <c r="P1353" s="9">
        <v>7.0</v>
      </c>
      <c r="Q1353" s="11" t="str">
        <f t="shared" si="9"/>
        <v>cobertura correcta</v>
      </c>
      <c r="R1353" s="12"/>
      <c r="S1353" s="8"/>
      <c r="T1353" s="12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</row>
    <row r="1354" ht="15.75" customHeight="1">
      <c r="A1354" s="5" t="s">
        <v>2574</v>
      </c>
      <c r="B1354" s="6" t="s">
        <v>2575</v>
      </c>
      <c r="C1354" s="6">
        <f t="shared" si="1"/>
        <v>6928</v>
      </c>
      <c r="D1354" s="6">
        <f t="shared" si="71"/>
        <v>9</v>
      </c>
      <c r="E1354" s="7">
        <v>0.0</v>
      </c>
      <c r="F1354" s="8"/>
      <c r="G1354" s="6">
        <f t="shared" si="3"/>
        <v>4953</v>
      </c>
      <c r="H1354" s="6">
        <f t="shared" si="4"/>
        <v>11653</v>
      </c>
      <c r="I1354" s="6">
        <f t="shared" si="5"/>
        <v>23767</v>
      </c>
      <c r="J1354" s="6">
        <f t="shared" si="6"/>
        <v>51440</v>
      </c>
      <c r="K1354" s="9"/>
      <c r="L1354" s="9"/>
      <c r="M1354" s="9"/>
      <c r="N1354" s="9">
        <f t="shared" si="7"/>
        <v>7.424942263</v>
      </c>
      <c r="O1354" s="10">
        <f t="shared" si="8"/>
        <v>41.962447</v>
      </c>
      <c r="P1354" s="9">
        <v>7.0</v>
      </c>
      <c r="Q1354" s="11" t="str">
        <f t="shared" si="9"/>
        <v>cobertura correcta</v>
      </c>
      <c r="R1354" s="12"/>
      <c r="S1354" s="8"/>
      <c r="T1354" s="12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</row>
    <row r="1355" ht="15.75" customHeight="1">
      <c r="A1355" s="5" t="s">
        <v>2576</v>
      </c>
      <c r="B1355" s="6" t="s">
        <v>2577</v>
      </c>
      <c r="C1355" s="6">
        <f t="shared" si="1"/>
        <v>1576</v>
      </c>
      <c r="D1355" s="6">
        <f t="shared" si="71"/>
        <v>4</v>
      </c>
      <c r="E1355" s="7">
        <v>0.0</v>
      </c>
      <c r="F1355" s="8"/>
      <c r="G1355" s="6">
        <f t="shared" si="3"/>
        <v>1973</v>
      </c>
      <c r="H1355" s="6">
        <f t="shared" si="4"/>
        <v>12929</v>
      </c>
      <c r="I1355" s="6">
        <f t="shared" si="5"/>
        <v>23045</v>
      </c>
      <c r="J1355" s="6">
        <f t="shared" si="6"/>
        <v>85202</v>
      </c>
      <c r="K1355" s="9"/>
      <c r="L1355" s="9"/>
      <c r="M1355" s="9"/>
      <c r="N1355" s="9">
        <f t="shared" si="7"/>
        <v>54.06218274</v>
      </c>
      <c r="O1355" s="10">
        <f t="shared" si="8"/>
        <v>23.96350735</v>
      </c>
      <c r="P1355" s="9">
        <v>7.0</v>
      </c>
      <c r="Q1355" s="11" t="str">
        <f t="shared" si="9"/>
        <v>cobertura correcta</v>
      </c>
      <c r="R1355" s="12"/>
      <c r="S1355" s="8"/>
      <c r="T1355" s="12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</row>
    <row r="1356" ht="15.75" customHeight="1">
      <c r="A1356" s="5" t="s">
        <v>2578</v>
      </c>
      <c r="B1356" s="6" t="s">
        <v>2579</v>
      </c>
      <c r="C1356" s="6">
        <f t="shared" si="1"/>
        <v>8147</v>
      </c>
      <c r="D1356" s="6">
        <f t="shared" si="71"/>
        <v>21</v>
      </c>
      <c r="E1356" s="7">
        <v>0.0</v>
      </c>
      <c r="F1356" s="8"/>
      <c r="G1356" s="6">
        <f t="shared" si="3"/>
        <v>3518</v>
      </c>
      <c r="H1356" s="6">
        <f t="shared" si="4"/>
        <v>17047</v>
      </c>
      <c r="I1356" s="6">
        <f t="shared" si="5"/>
        <v>28594</v>
      </c>
      <c r="J1356" s="6">
        <f t="shared" si="6"/>
        <v>40054</v>
      </c>
      <c r="K1356" s="9"/>
      <c r="L1356" s="9"/>
      <c r="M1356" s="9"/>
      <c r="N1356" s="9">
        <f t="shared" si="7"/>
        <v>4.916410949</v>
      </c>
      <c r="O1356" s="10">
        <f t="shared" si="8"/>
        <v>69.47413303</v>
      </c>
      <c r="P1356" s="9">
        <v>20.0</v>
      </c>
      <c r="Q1356" s="11" t="str">
        <f t="shared" si="9"/>
        <v>cobertura correcta</v>
      </c>
      <c r="R1356" s="12"/>
      <c r="S1356" s="8"/>
      <c r="T1356" s="12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ht="15.75" customHeight="1">
      <c r="A1357" s="5" t="s">
        <v>2580</v>
      </c>
      <c r="B1357" s="6" t="s">
        <v>2581</v>
      </c>
      <c r="C1357" s="6">
        <f t="shared" si="1"/>
        <v>8481</v>
      </c>
      <c r="D1357" s="6">
        <f t="shared" si="71"/>
        <v>36</v>
      </c>
      <c r="E1357" s="7">
        <v>0.0</v>
      </c>
      <c r="F1357" s="8"/>
      <c r="G1357" s="6">
        <f t="shared" si="3"/>
        <v>3205</v>
      </c>
      <c r="H1357" s="6">
        <f t="shared" si="4"/>
        <v>16122</v>
      </c>
      <c r="I1357" s="6">
        <f t="shared" si="5"/>
        <v>25507</v>
      </c>
      <c r="J1357" s="6">
        <f t="shared" si="6"/>
        <v>90863</v>
      </c>
      <c r="K1357" s="9"/>
      <c r="L1357" s="9"/>
      <c r="M1357" s="9"/>
      <c r="N1357" s="9">
        <f t="shared" si="7"/>
        <v>10.71371301</v>
      </c>
      <c r="O1357" s="10">
        <f t="shared" si="8"/>
        <v>79.38533541</v>
      </c>
      <c r="P1357" s="9">
        <v>7.0</v>
      </c>
      <c r="Q1357" s="11" t="str">
        <f t="shared" si="9"/>
        <v>cobertura correcta</v>
      </c>
      <c r="R1357" s="12"/>
      <c r="S1357" s="8"/>
      <c r="T1357" s="12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</row>
    <row r="1358" ht="15.75" customHeight="1">
      <c r="A1358" s="5" t="s">
        <v>2582</v>
      </c>
      <c r="B1358" s="6" t="s">
        <v>2583</v>
      </c>
      <c r="C1358" s="6">
        <f t="shared" si="1"/>
        <v>2512</v>
      </c>
      <c r="D1358" s="6">
        <f t="shared" si="71"/>
        <v>24</v>
      </c>
      <c r="E1358" s="7">
        <v>0.0</v>
      </c>
      <c r="F1358" s="8"/>
      <c r="G1358" s="6">
        <f t="shared" si="3"/>
        <v>4961</v>
      </c>
      <c r="H1358" s="6">
        <f t="shared" si="4"/>
        <v>17400</v>
      </c>
      <c r="I1358" s="6">
        <f t="shared" si="5"/>
        <v>26969</v>
      </c>
      <c r="J1358" s="6">
        <f t="shared" si="6"/>
        <v>91729</v>
      </c>
      <c r="K1358" s="9"/>
      <c r="L1358" s="9"/>
      <c r="M1358" s="9"/>
      <c r="N1358" s="9">
        <f t="shared" si="7"/>
        <v>36.51632166</v>
      </c>
      <c r="O1358" s="10">
        <f t="shared" si="8"/>
        <v>15.19048579</v>
      </c>
      <c r="P1358" s="9">
        <v>7.0</v>
      </c>
      <c r="Q1358" s="11" t="str">
        <f t="shared" si="9"/>
        <v>cobertura correcta</v>
      </c>
      <c r="R1358" s="12"/>
      <c r="S1358" s="8"/>
      <c r="T1358" s="12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</row>
    <row r="1359" ht="15.75" customHeight="1">
      <c r="A1359" s="5" t="s">
        <v>2584</v>
      </c>
      <c r="B1359" s="6" t="s">
        <v>2585</v>
      </c>
      <c r="C1359" s="6">
        <f t="shared" si="1"/>
        <v>2777</v>
      </c>
      <c r="D1359" s="6">
        <f t="shared" si="71"/>
        <v>45</v>
      </c>
      <c r="E1359" s="7">
        <v>0.0</v>
      </c>
      <c r="F1359" s="8"/>
      <c r="G1359" s="6">
        <f t="shared" si="3"/>
        <v>1713</v>
      </c>
      <c r="H1359" s="6">
        <f t="shared" si="4"/>
        <v>18762</v>
      </c>
      <c r="I1359" s="6">
        <f t="shared" si="5"/>
        <v>21592</v>
      </c>
      <c r="J1359" s="6">
        <f t="shared" si="6"/>
        <v>86021</v>
      </c>
      <c r="K1359" s="9"/>
      <c r="L1359" s="9"/>
      <c r="M1359" s="9"/>
      <c r="N1359" s="9">
        <f t="shared" si="7"/>
        <v>30.97623335</v>
      </c>
      <c r="O1359" s="10">
        <f t="shared" si="8"/>
        <v>48.63397548</v>
      </c>
      <c r="P1359" s="9">
        <v>7.0</v>
      </c>
      <c r="Q1359" s="11" t="str">
        <f t="shared" si="9"/>
        <v>cobertura correcta</v>
      </c>
      <c r="R1359" s="12"/>
      <c r="S1359" s="8"/>
      <c r="T1359" s="12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</row>
    <row r="1360" ht="15.75" customHeight="1">
      <c r="A1360" s="5" t="s">
        <v>2586</v>
      </c>
      <c r="B1360" s="6"/>
      <c r="C1360" s="6">
        <f t="shared" si="1"/>
        <v>5036</v>
      </c>
      <c r="D1360" s="6">
        <f t="shared" si="71"/>
        <v>47</v>
      </c>
      <c r="E1360" s="7">
        <v>0.0</v>
      </c>
      <c r="F1360" s="8"/>
      <c r="G1360" s="6">
        <f t="shared" si="3"/>
        <v>5549</v>
      </c>
      <c r="H1360" s="6">
        <f t="shared" si="4"/>
        <v>14904</v>
      </c>
      <c r="I1360" s="6">
        <f t="shared" si="5"/>
        <v>22475</v>
      </c>
      <c r="J1360" s="6">
        <f t="shared" si="6"/>
        <v>62665</v>
      </c>
      <c r="K1360" s="9"/>
      <c r="L1360" s="9"/>
      <c r="M1360" s="9"/>
      <c r="N1360" s="9">
        <f t="shared" si="7"/>
        <v>12.44340747</v>
      </c>
      <c r="O1360" s="10">
        <f t="shared" si="8"/>
        <v>27.2265273</v>
      </c>
      <c r="P1360" s="9">
        <v>7.0</v>
      </c>
      <c r="Q1360" s="11" t="str">
        <f t="shared" si="9"/>
        <v>cobertura correcta</v>
      </c>
      <c r="R1360" s="12"/>
      <c r="S1360" s="8"/>
      <c r="T1360" s="12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</row>
    <row r="1361" ht="15.75" customHeight="1">
      <c r="A1361" s="5" t="s">
        <v>2587</v>
      </c>
      <c r="B1361" s="6"/>
      <c r="C1361" s="6">
        <f t="shared" si="1"/>
        <v>1143</v>
      </c>
      <c r="D1361" s="7">
        <v>0.0</v>
      </c>
      <c r="E1361" s="7">
        <v>0.0</v>
      </c>
      <c r="F1361" s="8"/>
      <c r="G1361" s="6">
        <f t="shared" si="3"/>
        <v>4917</v>
      </c>
      <c r="H1361" s="6">
        <f t="shared" si="4"/>
        <v>16758</v>
      </c>
      <c r="I1361" s="6">
        <f t="shared" si="5"/>
        <v>24898</v>
      </c>
      <c r="J1361" s="6">
        <f t="shared" si="6"/>
        <v>82854</v>
      </c>
      <c r="K1361" s="9"/>
      <c r="L1361" s="9"/>
      <c r="M1361" s="9"/>
      <c r="N1361" s="9">
        <f t="shared" si="7"/>
        <v>72.48818898</v>
      </c>
      <c r="O1361" s="10">
        <f t="shared" si="8"/>
        <v>6.973764491</v>
      </c>
      <c r="P1361" s="9">
        <v>7.0</v>
      </c>
      <c r="Q1361" s="11" t="str">
        <f t="shared" si="9"/>
        <v>¡Compra YA!</v>
      </c>
      <c r="R1361" s="12"/>
      <c r="S1361" s="8"/>
      <c r="T1361" s="12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</row>
    <row r="1362" ht="15.75" customHeight="1">
      <c r="A1362" s="5" t="s">
        <v>2588</v>
      </c>
      <c r="B1362" s="6"/>
      <c r="C1362" s="6">
        <f t="shared" si="1"/>
        <v>2065</v>
      </c>
      <c r="D1362" s="7">
        <v>0.0</v>
      </c>
      <c r="E1362" s="7">
        <v>0.0</v>
      </c>
      <c r="F1362" s="8"/>
      <c r="G1362" s="6">
        <f t="shared" si="3"/>
        <v>8767</v>
      </c>
      <c r="H1362" s="6">
        <f t="shared" si="4"/>
        <v>14416</v>
      </c>
      <c r="I1362" s="6">
        <f t="shared" si="5"/>
        <v>25159</v>
      </c>
      <c r="J1362" s="6">
        <f t="shared" si="6"/>
        <v>64655</v>
      </c>
      <c r="K1362" s="9"/>
      <c r="L1362" s="9"/>
      <c r="M1362" s="9"/>
      <c r="N1362" s="9">
        <f t="shared" si="7"/>
        <v>31.30992736</v>
      </c>
      <c r="O1362" s="10">
        <f t="shared" si="8"/>
        <v>7.066271244</v>
      </c>
      <c r="P1362" s="9">
        <v>7.0</v>
      </c>
      <c r="Q1362" s="11" t="str">
        <f t="shared" si="9"/>
        <v>cobertura correcta</v>
      </c>
      <c r="R1362" s="12"/>
      <c r="S1362" s="8"/>
      <c r="T1362" s="12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</row>
    <row r="1363" ht="15.75" customHeight="1">
      <c r="A1363" s="5" t="s">
        <v>2589</v>
      </c>
      <c r="B1363" s="6" t="s">
        <v>2590</v>
      </c>
      <c r="C1363" s="6">
        <f t="shared" si="1"/>
        <v>2473</v>
      </c>
      <c r="D1363" s="7">
        <v>0.0</v>
      </c>
      <c r="E1363" s="7">
        <v>0.0</v>
      </c>
      <c r="F1363" s="8"/>
      <c r="G1363" s="6">
        <f t="shared" si="3"/>
        <v>2804</v>
      </c>
      <c r="H1363" s="6">
        <f t="shared" si="4"/>
        <v>10102</v>
      </c>
      <c r="I1363" s="6">
        <f t="shared" si="5"/>
        <v>27097</v>
      </c>
      <c r="J1363" s="6">
        <f t="shared" si="6"/>
        <v>89027</v>
      </c>
      <c r="K1363" s="9"/>
      <c r="L1363" s="9"/>
      <c r="M1363" s="9"/>
      <c r="N1363" s="9">
        <f t="shared" si="7"/>
        <v>35.99959563</v>
      </c>
      <c r="O1363" s="10">
        <f t="shared" si="8"/>
        <v>26.45863053</v>
      </c>
      <c r="P1363" s="9">
        <v>30.0</v>
      </c>
      <c r="Q1363" s="11" t="str">
        <f t="shared" si="9"/>
        <v>¡Compra YA!</v>
      </c>
      <c r="R1363" s="12"/>
      <c r="S1363" s="8"/>
      <c r="T1363" s="12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</row>
    <row r="1364" ht="15.75" customHeight="1">
      <c r="A1364" s="5" t="s">
        <v>2591</v>
      </c>
      <c r="B1364" s="6" t="s">
        <v>2592</v>
      </c>
      <c r="C1364" s="6">
        <f t="shared" si="1"/>
        <v>7434</v>
      </c>
      <c r="D1364" s="7">
        <v>0.0</v>
      </c>
      <c r="E1364" s="7">
        <v>0.0</v>
      </c>
      <c r="F1364" s="8"/>
      <c r="G1364" s="6">
        <f t="shared" si="3"/>
        <v>7999</v>
      </c>
      <c r="H1364" s="6">
        <f t="shared" si="4"/>
        <v>11678</v>
      </c>
      <c r="I1364" s="6">
        <f t="shared" si="5"/>
        <v>27635</v>
      </c>
      <c r="J1364" s="6">
        <f t="shared" si="6"/>
        <v>97113</v>
      </c>
      <c r="K1364" s="9"/>
      <c r="L1364" s="9"/>
      <c r="M1364" s="9"/>
      <c r="N1364" s="9">
        <f t="shared" si="7"/>
        <v>13.06335755</v>
      </c>
      <c r="O1364" s="10">
        <f t="shared" si="8"/>
        <v>27.88098512</v>
      </c>
      <c r="P1364" s="9">
        <v>7.0</v>
      </c>
      <c r="Q1364" s="11" t="str">
        <f t="shared" si="9"/>
        <v>cobertura correcta</v>
      </c>
      <c r="R1364" s="12"/>
      <c r="S1364" s="8"/>
      <c r="T1364" s="12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</row>
    <row r="1365" ht="15.75" customHeight="1">
      <c r="A1365" s="5" t="s">
        <v>2593</v>
      </c>
      <c r="B1365" s="6" t="s">
        <v>2594</v>
      </c>
      <c r="C1365" s="6">
        <f t="shared" si="1"/>
        <v>2621</v>
      </c>
      <c r="D1365" s="6">
        <f t="shared" ref="D1365:D1367" si="72">RANDBETWEEN(0, 50)</f>
        <v>17</v>
      </c>
      <c r="E1365" s="7">
        <v>0.0</v>
      </c>
      <c r="F1365" s="8"/>
      <c r="G1365" s="6">
        <f t="shared" si="3"/>
        <v>8093</v>
      </c>
      <c r="H1365" s="6">
        <f t="shared" si="4"/>
        <v>15363</v>
      </c>
      <c r="I1365" s="6">
        <f t="shared" si="5"/>
        <v>27917</v>
      </c>
      <c r="J1365" s="6">
        <f t="shared" si="6"/>
        <v>45870</v>
      </c>
      <c r="K1365" s="9"/>
      <c r="L1365" s="9"/>
      <c r="M1365" s="9"/>
      <c r="N1365" s="9">
        <f t="shared" si="7"/>
        <v>17.50095383</v>
      </c>
      <c r="O1365" s="10">
        <f t="shared" si="8"/>
        <v>9.715803781</v>
      </c>
      <c r="P1365" s="9">
        <v>7.0</v>
      </c>
      <c r="Q1365" s="11" t="str">
        <f t="shared" si="9"/>
        <v>cobertura correcta</v>
      </c>
      <c r="R1365" s="12"/>
      <c r="S1365" s="8"/>
      <c r="T1365" s="12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</row>
    <row r="1366" ht="15.75" customHeight="1">
      <c r="A1366" s="5" t="s">
        <v>2595</v>
      </c>
      <c r="B1366" s="6" t="s">
        <v>2596</v>
      </c>
      <c r="C1366" s="6">
        <f t="shared" si="1"/>
        <v>5096</v>
      </c>
      <c r="D1366" s="6">
        <f t="shared" si="72"/>
        <v>40</v>
      </c>
      <c r="E1366" s="6">
        <f t="shared" ref="E1366:E1370" si="73">RANDBETWEEN(0, 1000)</f>
        <v>292</v>
      </c>
      <c r="F1366" s="8"/>
      <c r="G1366" s="6">
        <f t="shared" si="3"/>
        <v>7393</v>
      </c>
      <c r="H1366" s="6">
        <f t="shared" si="4"/>
        <v>16468</v>
      </c>
      <c r="I1366" s="6">
        <f t="shared" si="5"/>
        <v>19573</v>
      </c>
      <c r="J1366" s="6">
        <f t="shared" si="6"/>
        <v>43080</v>
      </c>
      <c r="K1366" s="9"/>
      <c r="L1366" s="9"/>
      <c r="M1366" s="9"/>
      <c r="N1366" s="9">
        <f t="shared" si="7"/>
        <v>8.453689168</v>
      </c>
      <c r="O1366" s="10">
        <f t="shared" si="8"/>
        <v>20.6790207</v>
      </c>
      <c r="P1366" s="9">
        <v>15.0</v>
      </c>
      <c r="Q1366" s="11" t="str">
        <f t="shared" si="9"/>
        <v>cobertura correcta</v>
      </c>
      <c r="R1366" s="12"/>
      <c r="S1366" s="8"/>
      <c r="T1366" s="12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</row>
    <row r="1367" ht="15.75" customHeight="1">
      <c r="A1367" s="5" t="s">
        <v>2597</v>
      </c>
      <c r="B1367" s="6"/>
      <c r="C1367" s="6">
        <f t="shared" si="1"/>
        <v>2888</v>
      </c>
      <c r="D1367" s="6">
        <f t="shared" si="72"/>
        <v>4</v>
      </c>
      <c r="E1367" s="6">
        <f t="shared" si="73"/>
        <v>592</v>
      </c>
      <c r="F1367" s="8"/>
      <c r="G1367" s="6">
        <f t="shared" si="3"/>
        <v>2695</v>
      </c>
      <c r="H1367" s="6">
        <f t="shared" si="4"/>
        <v>10993</v>
      </c>
      <c r="I1367" s="6">
        <f t="shared" si="5"/>
        <v>21607</v>
      </c>
      <c r="J1367" s="6">
        <f t="shared" si="6"/>
        <v>51490</v>
      </c>
      <c r="K1367" s="9"/>
      <c r="L1367" s="9"/>
      <c r="M1367" s="9"/>
      <c r="N1367" s="9">
        <f t="shared" si="7"/>
        <v>17.82894737</v>
      </c>
      <c r="O1367" s="10">
        <f t="shared" si="8"/>
        <v>32.14842301</v>
      </c>
      <c r="P1367" s="9">
        <v>7.0</v>
      </c>
      <c r="Q1367" s="11" t="str">
        <f t="shared" si="9"/>
        <v>cobertura correcta</v>
      </c>
      <c r="R1367" s="12"/>
      <c r="S1367" s="8"/>
      <c r="T1367" s="12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</row>
    <row r="1368" ht="15.75" customHeight="1">
      <c r="A1368" s="5" t="s">
        <v>2598</v>
      </c>
      <c r="B1368" s="6"/>
      <c r="C1368" s="6">
        <f t="shared" si="1"/>
        <v>8660</v>
      </c>
      <c r="D1368" s="7">
        <v>0.0</v>
      </c>
      <c r="E1368" s="6">
        <f t="shared" si="73"/>
        <v>210</v>
      </c>
      <c r="F1368" s="8"/>
      <c r="G1368" s="6">
        <f t="shared" si="3"/>
        <v>6445</v>
      </c>
      <c r="H1368" s="6">
        <f t="shared" si="4"/>
        <v>14061</v>
      </c>
      <c r="I1368" s="6">
        <f t="shared" si="5"/>
        <v>22624</v>
      </c>
      <c r="J1368" s="6">
        <f t="shared" si="6"/>
        <v>83536</v>
      </c>
      <c r="K1368" s="9"/>
      <c r="L1368" s="9"/>
      <c r="M1368" s="9"/>
      <c r="N1368" s="9">
        <f t="shared" si="7"/>
        <v>9.646189376</v>
      </c>
      <c r="O1368" s="10">
        <f t="shared" si="8"/>
        <v>40.31031808</v>
      </c>
      <c r="P1368" s="9">
        <v>7.0</v>
      </c>
      <c r="Q1368" s="11" t="str">
        <f t="shared" si="9"/>
        <v>cobertura correcta</v>
      </c>
      <c r="R1368" s="12"/>
      <c r="S1368" s="8"/>
      <c r="T1368" s="12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</row>
    <row r="1369" ht="15.75" customHeight="1">
      <c r="A1369" s="5" t="s">
        <v>2599</v>
      </c>
      <c r="B1369" s="6" t="s">
        <v>2600</v>
      </c>
      <c r="C1369" s="6">
        <f t="shared" si="1"/>
        <v>6358</v>
      </c>
      <c r="D1369" s="7">
        <v>0.0</v>
      </c>
      <c r="E1369" s="6">
        <f t="shared" si="73"/>
        <v>785</v>
      </c>
      <c r="F1369" s="8"/>
      <c r="G1369" s="6">
        <f t="shared" si="3"/>
        <v>4587</v>
      </c>
      <c r="H1369" s="6">
        <f t="shared" si="4"/>
        <v>17151</v>
      </c>
      <c r="I1369" s="6">
        <f t="shared" si="5"/>
        <v>28022</v>
      </c>
      <c r="J1369" s="6">
        <f t="shared" si="6"/>
        <v>79855</v>
      </c>
      <c r="K1369" s="9"/>
      <c r="L1369" s="9"/>
      <c r="M1369" s="9"/>
      <c r="N1369" s="9">
        <f t="shared" si="7"/>
        <v>12.55976722</v>
      </c>
      <c r="O1369" s="10">
        <f t="shared" si="8"/>
        <v>41.58273381</v>
      </c>
      <c r="P1369" s="9">
        <v>7.0</v>
      </c>
      <c r="Q1369" s="11" t="str">
        <f t="shared" si="9"/>
        <v>cobertura correcta</v>
      </c>
      <c r="R1369" s="12"/>
      <c r="S1369" s="8"/>
      <c r="T1369" s="12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</row>
    <row r="1370" ht="15.75" customHeight="1">
      <c r="A1370" s="5" t="s">
        <v>2601</v>
      </c>
      <c r="B1370" s="6" t="s">
        <v>2602</v>
      </c>
      <c r="C1370" s="6">
        <f t="shared" si="1"/>
        <v>2780</v>
      </c>
      <c r="D1370" s="6">
        <f>RANDBETWEEN(0, 50)</f>
        <v>7</v>
      </c>
      <c r="E1370" s="6">
        <f t="shared" si="73"/>
        <v>426</v>
      </c>
      <c r="F1370" s="8"/>
      <c r="G1370" s="6">
        <f t="shared" si="3"/>
        <v>8456</v>
      </c>
      <c r="H1370" s="6">
        <f t="shared" si="4"/>
        <v>13957</v>
      </c>
      <c r="I1370" s="6">
        <f t="shared" si="5"/>
        <v>20209</v>
      </c>
      <c r="J1370" s="6">
        <f t="shared" si="6"/>
        <v>37144</v>
      </c>
      <c r="K1370" s="9"/>
      <c r="L1370" s="9"/>
      <c r="M1370" s="9"/>
      <c r="N1370" s="9">
        <f t="shared" si="7"/>
        <v>13.36115108</v>
      </c>
      <c r="O1370" s="10">
        <f t="shared" si="8"/>
        <v>9.8628193</v>
      </c>
      <c r="P1370" s="9">
        <v>7.0</v>
      </c>
      <c r="Q1370" s="11" t="str">
        <f t="shared" si="9"/>
        <v>cobertura correcta</v>
      </c>
      <c r="R1370" s="12"/>
      <c r="S1370" s="8"/>
      <c r="T1370" s="12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</row>
    <row r="1371" ht="15.75" customHeight="1">
      <c r="A1371" s="5" t="s">
        <v>2603</v>
      </c>
      <c r="B1371" s="6" t="s">
        <v>2604</v>
      </c>
      <c r="C1371" s="6">
        <f t="shared" si="1"/>
        <v>3556</v>
      </c>
      <c r="D1371" s="7">
        <v>0.0</v>
      </c>
      <c r="E1371" s="7">
        <v>0.0</v>
      </c>
      <c r="F1371" s="8"/>
      <c r="G1371" s="6">
        <f t="shared" si="3"/>
        <v>7202</v>
      </c>
      <c r="H1371" s="6">
        <f t="shared" si="4"/>
        <v>11269</v>
      </c>
      <c r="I1371" s="6">
        <f t="shared" si="5"/>
        <v>19654</v>
      </c>
      <c r="J1371" s="6">
        <f t="shared" si="6"/>
        <v>37575</v>
      </c>
      <c r="K1371" s="9"/>
      <c r="L1371" s="9"/>
      <c r="M1371" s="9"/>
      <c r="N1371" s="9">
        <f t="shared" si="7"/>
        <v>10.56664792</v>
      </c>
      <c r="O1371" s="10">
        <f t="shared" si="8"/>
        <v>14.81255207</v>
      </c>
      <c r="P1371" s="9">
        <v>7.0</v>
      </c>
      <c r="Q1371" s="11" t="str">
        <f t="shared" si="9"/>
        <v>cobertura correcta</v>
      </c>
      <c r="R1371" s="12"/>
      <c r="S1371" s="8"/>
      <c r="T1371" s="12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</row>
    <row r="1372" ht="15.75" customHeight="1">
      <c r="A1372" s="5" t="s">
        <v>2605</v>
      </c>
      <c r="B1372" s="6" t="s">
        <v>2606</v>
      </c>
      <c r="C1372" s="6">
        <f t="shared" si="1"/>
        <v>6996</v>
      </c>
      <c r="D1372" s="6">
        <f t="shared" ref="D1372:D1374" si="74">RANDBETWEEN(0, 50)</f>
        <v>35</v>
      </c>
      <c r="E1372" s="6">
        <f t="shared" ref="E1372:E1374" si="75">RANDBETWEEN(0, 1000)</f>
        <v>76</v>
      </c>
      <c r="F1372" s="8"/>
      <c r="G1372" s="6">
        <f t="shared" si="3"/>
        <v>4486</v>
      </c>
      <c r="H1372" s="6">
        <f t="shared" si="4"/>
        <v>11529</v>
      </c>
      <c r="I1372" s="6">
        <f t="shared" si="5"/>
        <v>25302</v>
      </c>
      <c r="J1372" s="6">
        <f t="shared" si="6"/>
        <v>88606</v>
      </c>
      <c r="K1372" s="9"/>
      <c r="L1372" s="9"/>
      <c r="M1372" s="9"/>
      <c r="N1372" s="9">
        <f t="shared" si="7"/>
        <v>12.66523728</v>
      </c>
      <c r="O1372" s="10">
        <f t="shared" si="8"/>
        <v>46.78555506</v>
      </c>
      <c r="P1372" s="9">
        <v>7.0</v>
      </c>
      <c r="Q1372" s="11" t="str">
        <f t="shared" si="9"/>
        <v>cobertura correcta</v>
      </c>
      <c r="R1372" s="12"/>
      <c r="S1372" s="8"/>
      <c r="T1372" s="12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</row>
    <row r="1373" ht="15.75" customHeight="1">
      <c r="A1373" s="5" t="s">
        <v>2607</v>
      </c>
      <c r="B1373" s="6" t="s">
        <v>2608</v>
      </c>
      <c r="C1373" s="6">
        <f t="shared" si="1"/>
        <v>1301</v>
      </c>
      <c r="D1373" s="6">
        <f t="shared" si="74"/>
        <v>44</v>
      </c>
      <c r="E1373" s="6">
        <f t="shared" si="75"/>
        <v>533</v>
      </c>
      <c r="F1373" s="8"/>
      <c r="G1373" s="6">
        <f t="shared" si="3"/>
        <v>6054</v>
      </c>
      <c r="H1373" s="6">
        <f t="shared" si="4"/>
        <v>17183</v>
      </c>
      <c r="I1373" s="6">
        <f t="shared" si="5"/>
        <v>20781</v>
      </c>
      <c r="J1373" s="6">
        <f t="shared" si="6"/>
        <v>84155</v>
      </c>
      <c r="K1373" s="9"/>
      <c r="L1373" s="9"/>
      <c r="M1373" s="9"/>
      <c r="N1373" s="9">
        <f t="shared" si="7"/>
        <v>64.6848578</v>
      </c>
      <c r="O1373" s="10">
        <f t="shared" si="8"/>
        <v>6.446977205</v>
      </c>
      <c r="P1373" s="9">
        <v>15.0</v>
      </c>
      <c r="Q1373" s="11" t="str">
        <f t="shared" si="9"/>
        <v>¡Compra YA!</v>
      </c>
      <c r="R1373" s="12"/>
      <c r="S1373" s="8"/>
      <c r="T1373" s="12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</row>
    <row r="1374" ht="15.75" customHeight="1">
      <c r="A1374" s="5" t="s">
        <v>2609</v>
      </c>
      <c r="B1374" s="6" t="s">
        <v>2610</v>
      </c>
      <c r="C1374" s="6">
        <f t="shared" si="1"/>
        <v>8155</v>
      </c>
      <c r="D1374" s="6">
        <f t="shared" si="74"/>
        <v>9</v>
      </c>
      <c r="E1374" s="6">
        <f t="shared" si="75"/>
        <v>795</v>
      </c>
      <c r="F1374" s="8"/>
      <c r="G1374" s="6">
        <f t="shared" si="3"/>
        <v>8635</v>
      </c>
      <c r="H1374" s="6">
        <f t="shared" si="4"/>
        <v>10118</v>
      </c>
      <c r="I1374" s="6">
        <f t="shared" si="5"/>
        <v>26376</v>
      </c>
      <c r="J1374" s="6">
        <f t="shared" si="6"/>
        <v>79175</v>
      </c>
      <c r="K1374" s="9"/>
      <c r="L1374" s="9"/>
      <c r="M1374" s="9"/>
      <c r="N1374" s="9">
        <f t="shared" si="7"/>
        <v>9.708767627</v>
      </c>
      <c r="O1374" s="10">
        <f t="shared" si="8"/>
        <v>28.33236827</v>
      </c>
      <c r="P1374" s="9">
        <v>15.0</v>
      </c>
      <c r="Q1374" s="11" t="str">
        <f t="shared" si="9"/>
        <v>cobertura correcta</v>
      </c>
      <c r="R1374" s="12"/>
      <c r="S1374" s="8"/>
      <c r="T1374" s="12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</row>
    <row r="1375" ht="15.75" customHeight="1">
      <c r="A1375" s="5" t="s">
        <v>2611</v>
      </c>
      <c r="B1375" s="6" t="s">
        <v>2612</v>
      </c>
      <c r="C1375" s="6">
        <f t="shared" si="1"/>
        <v>7158</v>
      </c>
      <c r="D1375" s="7">
        <v>0.0</v>
      </c>
      <c r="E1375" s="7">
        <v>0.0</v>
      </c>
      <c r="F1375" s="8"/>
      <c r="G1375" s="6">
        <f t="shared" si="3"/>
        <v>3323</v>
      </c>
      <c r="H1375" s="6">
        <f t="shared" si="4"/>
        <v>15696</v>
      </c>
      <c r="I1375" s="6">
        <f t="shared" si="5"/>
        <v>26516</v>
      </c>
      <c r="J1375" s="6">
        <f t="shared" si="6"/>
        <v>71614</v>
      </c>
      <c r="K1375" s="9"/>
      <c r="L1375" s="9"/>
      <c r="M1375" s="9"/>
      <c r="N1375" s="9">
        <f t="shared" si="7"/>
        <v>10.00474993</v>
      </c>
      <c r="O1375" s="10">
        <f t="shared" si="8"/>
        <v>64.62232922</v>
      </c>
      <c r="P1375" s="9">
        <v>15.0</v>
      </c>
      <c r="Q1375" s="11" t="str">
        <f t="shared" si="9"/>
        <v>cobertura correcta</v>
      </c>
      <c r="R1375" s="12"/>
      <c r="S1375" s="8"/>
      <c r="T1375" s="12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</row>
    <row r="1376" ht="15.75" customHeight="1">
      <c r="A1376" s="5" t="s">
        <v>2613</v>
      </c>
      <c r="B1376" s="6" t="s">
        <v>2614</v>
      </c>
      <c r="C1376" s="6">
        <f t="shared" si="1"/>
        <v>2855</v>
      </c>
      <c r="D1376" s="7">
        <v>0.0</v>
      </c>
      <c r="E1376" s="7">
        <v>0.0</v>
      </c>
      <c r="F1376" s="8"/>
      <c r="G1376" s="6">
        <f t="shared" si="3"/>
        <v>2166</v>
      </c>
      <c r="H1376" s="6">
        <f t="shared" si="4"/>
        <v>15582</v>
      </c>
      <c r="I1376" s="6">
        <f t="shared" si="5"/>
        <v>28636</v>
      </c>
      <c r="J1376" s="6">
        <f t="shared" si="6"/>
        <v>79215</v>
      </c>
      <c r="K1376" s="9"/>
      <c r="L1376" s="9"/>
      <c r="M1376" s="9"/>
      <c r="N1376" s="9">
        <f t="shared" si="7"/>
        <v>27.74605954</v>
      </c>
      <c r="O1376" s="10">
        <f t="shared" si="8"/>
        <v>39.54293629</v>
      </c>
      <c r="P1376" s="9">
        <v>15.0</v>
      </c>
      <c r="Q1376" s="11" t="str">
        <f t="shared" si="9"/>
        <v>cobertura correcta</v>
      </c>
      <c r="R1376" s="12"/>
      <c r="S1376" s="8"/>
      <c r="T1376" s="12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</row>
    <row r="1377" ht="15.75" customHeight="1">
      <c r="A1377" s="5" t="s">
        <v>2615</v>
      </c>
      <c r="B1377" s="6" t="s">
        <v>2616</v>
      </c>
      <c r="C1377" s="6">
        <f t="shared" si="1"/>
        <v>3327</v>
      </c>
      <c r="D1377" s="6">
        <f>RANDBETWEEN(0, 50)</f>
        <v>48</v>
      </c>
      <c r="E1377" s="7">
        <v>0.0</v>
      </c>
      <c r="F1377" s="8"/>
      <c r="G1377" s="6">
        <f t="shared" si="3"/>
        <v>2401</v>
      </c>
      <c r="H1377" s="6">
        <f t="shared" si="4"/>
        <v>9577</v>
      </c>
      <c r="I1377" s="6">
        <f t="shared" si="5"/>
        <v>24061</v>
      </c>
      <c r="J1377" s="6">
        <f t="shared" si="6"/>
        <v>67918</v>
      </c>
      <c r="K1377" s="9"/>
      <c r="L1377" s="9"/>
      <c r="M1377" s="9"/>
      <c r="N1377" s="9">
        <f t="shared" si="7"/>
        <v>20.41418696</v>
      </c>
      <c r="O1377" s="10">
        <f t="shared" si="8"/>
        <v>41.57017909</v>
      </c>
      <c r="P1377" s="9">
        <v>30.0</v>
      </c>
      <c r="Q1377" s="11" t="str">
        <f t="shared" si="9"/>
        <v>cobertura correcta</v>
      </c>
      <c r="R1377" s="12"/>
      <c r="S1377" s="8"/>
      <c r="T1377" s="12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</row>
    <row r="1378" ht="15.75" customHeight="1">
      <c r="A1378" s="5" t="s">
        <v>2617</v>
      </c>
      <c r="B1378" s="6" t="s">
        <v>2618</v>
      </c>
      <c r="C1378" s="6">
        <f t="shared" si="1"/>
        <v>4585</v>
      </c>
      <c r="D1378" s="7">
        <v>0.0</v>
      </c>
      <c r="E1378" s="7">
        <v>0.0</v>
      </c>
      <c r="F1378" s="8"/>
      <c r="G1378" s="6">
        <f t="shared" si="3"/>
        <v>4186</v>
      </c>
      <c r="H1378" s="6">
        <f t="shared" si="4"/>
        <v>15550</v>
      </c>
      <c r="I1378" s="6">
        <f t="shared" si="5"/>
        <v>28005</v>
      </c>
      <c r="J1378" s="6">
        <f t="shared" si="6"/>
        <v>44484</v>
      </c>
      <c r="K1378" s="9"/>
      <c r="L1378" s="9"/>
      <c r="M1378" s="9"/>
      <c r="N1378" s="9">
        <f t="shared" si="7"/>
        <v>9.702071974</v>
      </c>
      <c r="O1378" s="10">
        <f t="shared" si="8"/>
        <v>32.85953177</v>
      </c>
      <c r="P1378" s="9">
        <v>15.0</v>
      </c>
      <c r="Q1378" s="11" t="str">
        <f t="shared" si="9"/>
        <v>cobertura correcta</v>
      </c>
      <c r="R1378" s="12"/>
      <c r="S1378" s="8"/>
      <c r="T1378" s="12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</row>
    <row r="1379" ht="15.75" customHeight="1">
      <c r="A1379" s="5" t="s">
        <v>2619</v>
      </c>
      <c r="B1379" s="6" t="s">
        <v>2620</v>
      </c>
      <c r="C1379" s="6">
        <f t="shared" si="1"/>
        <v>2449</v>
      </c>
      <c r="D1379" s="7">
        <v>0.0</v>
      </c>
      <c r="E1379" s="7">
        <v>0.0</v>
      </c>
      <c r="F1379" s="8"/>
      <c r="G1379" s="6">
        <f t="shared" si="3"/>
        <v>3086</v>
      </c>
      <c r="H1379" s="6">
        <f t="shared" si="4"/>
        <v>14022</v>
      </c>
      <c r="I1379" s="6">
        <f t="shared" si="5"/>
        <v>24990</v>
      </c>
      <c r="J1379" s="6">
        <f t="shared" si="6"/>
        <v>74279</v>
      </c>
      <c r="K1379" s="9"/>
      <c r="L1379" s="9"/>
      <c r="M1379" s="9"/>
      <c r="N1379" s="9">
        <f t="shared" si="7"/>
        <v>30.33033891</v>
      </c>
      <c r="O1379" s="10">
        <f t="shared" si="8"/>
        <v>23.80751782</v>
      </c>
      <c r="P1379" s="9">
        <v>15.0</v>
      </c>
      <c r="Q1379" s="11" t="str">
        <f t="shared" si="9"/>
        <v>cobertura correcta</v>
      </c>
      <c r="R1379" s="12"/>
      <c r="S1379" s="8"/>
      <c r="T1379" s="12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</row>
    <row r="1380" ht="15.75" customHeight="1">
      <c r="A1380" s="5" t="s">
        <v>2621</v>
      </c>
      <c r="B1380" s="6" t="s">
        <v>2622</v>
      </c>
      <c r="C1380" s="6">
        <f t="shared" si="1"/>
        <v>4342</v>
      </c>
      <c r="D1380" s="7">
        <v>0.0</v>
      </c>
      <c r="E1380" s="7">
        <v>0.0</v>
      </c>
      <c r="F1380" s="8"/>
      <c r="G1380" s="6">
        <f t="shared" si="3"/>
        <v>3424</v>
      </c>
      <c r="H1380" s="6">
        <f t="shared" si="4"/>
        <v>13081</v>
      </c>
      <c r="I1380" s="6">
        <f t="shared" si="5"/>
        <v>27289</v>
      </c>
      <c r="J1380" s="6">
        <f t="shared" si="6"/>
        <v>70218</v>
      </c>
      <c r="K1380" s="9"/>
      <c r="L1380" s="9"/>
      <c r="M1380" s="9"/>
      <c r="N1380" s="9">
        <f t="shared" si="7"/>
        <v>16.17181023</v>
      </c>
      <c r="O1380" s="10">
        <f t="shared" si="8"/>
        <v>38.0432243</v>
      </c>
      <c r="P1380" s="9">
        <v>15.0</v>
      </c>
      <c r="Q1380" s="11" t="str">
        <f t="shared" si="9"/>
        <v>cobertura correcta</v>
      </c>
      <c r="R1380" s="12"/>
      <c r="S1380" s="8"/>
      <c r="T1380" s="12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</row>
    <row r="1381" ht="15.75" customHeight="1">
      <c r="A1381" s="5" t="s">
        <v>2623</v>
      </c>
      <c r="B1381" s="6" t="s">
        <v>2624</v>
      </c>
      <c r="C1381" s="6">
        <f t="shared" si="1"/>
        <v>7638</v>
      </c>
      <c r="D1381" s="6">
        <f>RANDBETWEEN(0, 50)</f>
        <v>43</v>
      </c>
      <c r="E1381" s="7">
        <v>0.0</v>
      </c>
      <c r="F1381" s="8"/>
      <c r="G1381" s="6">
        <f t="shared" si="3"/>
        <v>7248</v>
      </c>
      <c r="H1381" s="6">
        <f t="shared" si="4"/>
        <v>12714</v>
      </c>
      <c r="I1381" s="6">
        <f t="shared" si="5"/>
        <v>21058</v>
      </c>
      <c r="J1381" s="6">
        <f t="shared" si="6"/>
        <v>92337</v>
      </c>
      <c r="K1381" s="9"/>
      <c r="L1381" s="9"/>
      <c r="M1381" s="9"/>
      <c r="N1381" s="9">
        <f t="shared" si="7"/>
        <v>12.08915947</v>
      </c>
      <c r="O1381" s="10">
        <f t="shared" si="8"/>
        <v>31.61423841</v>
      </c>
      <c r="P1381" s="9">
        <v>15.0</v>
      </c>
      <c r="Q1381" s="11" t="str">
        <f t="shared" si="9"/>
        <v>cobertura correcta</v>
      </c>
      <c r="R1381" s="12"/>
      <c r="S1381" s="8"/>
      <c r="T1381" s="12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</row>
    <row r="1382" ht="15.75" customHeight="1">
      <c r="A1382" s="5" t="s">
        <v>2625</v>
      </c>
      <c r="B1382" s="6" t="s">
        <v>2626</v>
      </c>
      <c r="C1382" s="6">
        <f t="shared" si="1"/>
        <v>8125</v>
      </c>
      <c r="D1382" s="7">
        <v>0.0</v>
      </c>
      <c r="E1382" s="7">
        <v>0.0</v>
      </c>
      <c r="F1382" s="8"/>
      <c r="G1382" s="6">
        <f t="shared" si="3"/>
        <v>5226</v>
      </c>
      <c r="H1382" s="6">
        <f t="shared" si="4"/>
        <v>11358</v>
      </c>
      <c r="I1382" s="6">
        <f t="shared" si="5"/>
        <v>22505</v>
      </c>
      <c r="J1382" s="6">
        <f t="shared" si="6"/>
        <v>57906</v>
      </c>
      <c r="K1382" s="9"/>
      <c r="L1382" s="9"/>
      <c r="M1382" s="9"/>
      <c r="N1382" s="9">
        <f t="shared" si="7"/>
        <v>7.126892308</v>
      </c>
      <c r="O1382" s="10">
        <f t="shared" si="8"/>
        <v>46.64179104</v>
      </c>
      <c r="P1382" s="9">
        <v>7.0</v>
      </c>
      <c r="Q1382" s="11" t="str">
        <f t="shared" si="9"/>
        <v>cobertura correcta</v>
      </c>
      <c r="R1382" s="12"/>
      <c r="S1382" s="8"/>
      <c r="T1382" s="12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</row>
    <row r="1383" ht="15.75" customHeight="1">
      <c r="A1383" s="5" t="s">
        <v>2627</v>
      </c>
      <c r="B1383" s="6" t="s">
        <v>2628</v>
      </c>
      <c r="C1383" s="6">
        <f t="shared" si="1"/>
        <v>7721</v>
      </c>
      <c r="D1383" s="6">
        <f t="shared" ref="D1383:D1385" si="76">RANDBETWEEN(0, 50)</f>
        <v>45</v>
      </c>
      <c r="E1383" s="7">
        <v>0.0</v>
      </c>
      <c r="F1383" s="8"/>
      <c r="G1383" s="6">
        <f t="shared" si="3"/>
        <v>3766</v>
      </c>
      <c r="H1383" s="6">
        <f t="shared" si="4"/>
        <v>9300</v>
      </c>
      <c r="I1383" s="6">
        <f t="shared" si="5"/>
        <v>20225</v>
      </c>
      <c r="J1383" s="6">
        <f t="shared" si="6"/>
        <v>58186</v>
      </c>
      <c r="K1383" s="9"/>
      <c r="L1383" s="9"/>
      <c r="M1383" s="9"/>
      <c r="N1383" s="9">
        <f t="shared" si="7"/>
        <v>7.536070457</v>
      </c>
      <c r="O1383" s="10">
        <f t="shared" si="8"/>
        <v>61.50557621</v>
      </c>
      <c r="P1383" s="9">
        <v>7.0</v>
      </c>
      <c r="Q1383" s="11" t="str">
        <f t="shared" si="9"/>
        <v>cobertura correcta</v>
      </c>
      <c r="R1383" s="12"/>
      <c r="S1383" s="8"/>
      <c r="T1383" s="12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</row>
    <row r="1384" ht="15.75" customHeight="1">
      <c r="A1384" s="5" t="s">
        <v>2629</v>
      </c>
      <c r="B1384" s="6" t="s">
        <v>2630</v>
      </c>
      <c r="C1384" s="6">
        <f t="shared" si="1"/>
        <v>7766</v>
      </c>
      <c r="D1384" s="6">
        <f t="shared" si="76"/>
        <v>7</v>
      </c>
      <c r="E1384" s="6">
        <f t="shared" ref="E1384:E1390" si="77">RANDBETWEEN(0, 1000)</f>
        <v>87</v>
      </c>
      <c r="F1384" s="8"/>
      <c r="G1384" s="6">
        <f t="shared" si="3"/>
        <v>5753</v>
      </c>
      <c r="H1384" s="6">
        <f t="shared" si="4"/>
        <v>17909</v>
      </c>
      <c r="I1384" s="6">
        <f t="shared" si="5"/>
        <v>27280</v>
      </c>
      <c r="J1384" s="6">
        <f t="shared" si="6"/>
        <v>97604</v>
      </c>
      <c r="K1384" s="9"/>
      <c r="L1384" s="9"/>
      <c r="M1384" s="9"/>
      <c r="N1384" s="9">
        <f t="shared" si="7"/>
        <v>12.56811743</v>
      </c>
      <c r="O1384" s="10">
        <f t="shared" si="8"/>
        <v>40.49713193</v>
      </c>
      <c r="P1384" s="9">
        <v>7.0</v>
      </c>
      <c r="Q1384" s="11" t="str">
        <f t="shared" si="9"/>
        <v>cobertura correcta</v>
      </c>
      <c r="R1384" s="12"/>
      <c r="S1384" s="8"/>
      <c r="T1384" s="12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</row>
    <row r="1385" ht="15.75" customHeight="1">
      <c r="A1385" s="5" t="s">
        <v>2631</v>
      </c>
      <c r="B1385" s="6" t="s">
        <v>2632</v>
      </c>
      <c r="C1385" s="6">
        <f t="shared" si="1"/>
        <v>5336</v>
      </c>
      <c r="D1385" s="6">
        <f t="shared" si="76"/>
        <v>22</v>
      </c>
      <c r="E1385" s="6">
        <f t="shared" si="77"/>
        <v>694</v>
      </c>
      <c r="F1385" s="8"/>
      <c r="G1385" s="6">
        <f t="shared" si="3"/>
        <v>2708</v>
      </c>
      <c r="H1385" s="6">
        <f t="shared" si="4"/>
        <v>18931</v>
      </c>
      <c r="I1385" s="6">
        <f t="shared" si="5"/>
        <v>28260</v>
      </c>
      <c r="J1385" s="6">
        <f t="shared" si="6"/>
        <v>60228</v>
      </c>
      <c r="K1385" s="9"/>
      <c r="L1385" s="9"/>
      <c r="M1385" s="9"/>
      <c r="N1385" s="9">
        <f t="shared" si="7"/>
        <v>11.28710645</v>
      </c>
      <c r="O1385" s="10">
        <f t="shared" si="8"/>
        <v>59.11373708</v>
      </c>
      <c r="P1385" s="9">
        <v>7.0</v>
      </c>
      <c r="Q1385" s="11" t="str">
        <f t="shared" si="9"/>
        <v>cobertura correcta</v>
      </c>
      <c r="R1385" s="12"/>
      <c r="S1385" s="8"/>
      <c r="T1385" s="12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</row>
    <row r="1386" ht="15.75" customHeight="1">
      <c r="A1386" s="5" t="s">
        <v>2633</v>
      </c>
      <c r="B1386" s="6" t="s">
        <v>2634</v>
      </c>
      <c r="C1386" s="6">
        <f t="shared" si="1"/>
        <v>8152</v>
      </c>
      <c r="D1386" s="7">
        <v>0.0</v>
      </c>
      <c r="E1386" s="6">
        <f t="shared" si="77"/>
        <v>932</v>
      </c>
      <c r="F1386" s="8"/>
      <c r="G1386" s="6">
        <f t="shared" si="3"/>
        <v>8758</v>
      </c>
      <c r="H1386" s="6">
        <f t="shared" si="4"/>
        <v>15044</v>
      </c>
      <c r="I1386" s="6">
        <f t="shared" si="5"/>
        <v>21153</v>
      </c>
      <c r="J1386" s="6">
        <f t="shared" si="6"/>
        <v>79837</v>
      </c>
      <c r="K1386" s="9"/>
      <c r="L1386" s="9"/>
      <c r="M1386" s="9"/>
      <c r="N1386" s="9">
        <f t="shared" si="7"/>
        <v>9.793547596</v>
      </c>
      <c r="O1386" s="10">
        <f t="shared" si="8"/>
        <v>27.9241836</v>
      </c>
      <c r="P1386" s="9">
        <v>20.0</v>
      </c>
      <c r="Q1386" s="11" t="str">
        <f t="shared" si="9"/>
        <v>cobertura correcta</v>
      </c>
      <c r="R1386" s="12"/>
      <c r="S1386" s="8"/>
      <c r="T1386" s="12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</row>
    <row r="1387" ht="15.75" customHeight="1">
      <c r="A1387" s="5" t="s">
        <v>2635</v>
      </c>
      <c r="B1387" s="6"/>
      <c r="C1387" s="6">
        <f t="shared" si="1"/>
        <v>1085</v>
      </c>
      <c r="D1387" s="6">
        <f t="shared" ref="D1387:D1391" si="78">RANDBETWEEN(0, 50)</f>
        <v>35</v>
      </c>
      <c r="E1387" s="6">
        <f t="shared" si="77"/>
        <v>642</v>
      </c>
      <c r="F1387" s="8"/>
      <c r="G1387" s="6">
        <f t="shared" si="3"/>
        <v>6637</v>
      </c>
      <c r="H1387" s="6">
        <f t="shared" si="4"/>
        <v>15722</v>
      </c>
      <c r="I1387" s="6">
        <f t="shared" si="5"/>
        <v>21986</v>
      </c>
      <c r="J1387" s="6">
        <f t="shared" si="6"/>
        <v>87657</v>
      </c>
      <c r="K1387" s="9"/>
      <c r="L1387" s="9"/>
      <c r="M1387" s="9"/>
      <c r="N1387" s="9">
        <f t="shared" si="7"/>
        <v>80.78986175</v>
      </c>
      <c r="O1387" s="10">
        <f t="shared" si="8"/>
        <v>4.904324243</v>
      </c>
      <c r="P1387" s="9">
        <v>7.0</v>
      </c>
      <c r="Q1387" s="11" t="str">
        <f t="shared" si="9"/>
        <v>¡Compra YA!</v>
      </c>
      <c r="R1387" s="12"/>
      <c r="S1387" s="8"/>
      <c r="T1387" s="12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</row>
    <row r="1388" ht="15.75" customHeight="1">
      <c r="A1388" s="5" t="s">
        <v>2636</v>
      </c>
      <c r="B1388" s="6"/>
      <c r="C1388" s="6">
        <f t="shared" si="1"/>
        <v>3154</v>
      </c>
      <c r="D1388" s="6">
        <f t="shared" si="78"/>
        <v>38</v>
      </c>
      <c r="E1388" s="6">
        <f t="shared" si="77"/>
        <v>481</v>
      </c>
      <c r="F1388" s="8"/>
      <c r="G1388" s="6">
        <f t="shared" si="3"/>
        <v>6112</v>
      </c>
      <c r="H1388" s="6">
        <f t="shared" si="4"/>
        <v>17200</v>
      </c>
      <c r="I1388" s="6">
        <f t="shared" si="5"/>
        <v>24789</v>
      </c>
      <c r="J1388" s="6">
        <f t="shared" si="6"/>
        <v>87874</v>
      </c>
      <c r="K1388" s="9"/>
      <c r="L1388" s="9"/>
      <c r="M1388" s="9"/>
      <c r="N1388" s="9">
        <f t="shared" si="7"/>
        <v>27.86112873</v>
      </c>
      <c r="O1388" s="10">
        <f t="shared" si="8"/>
        <v>15.48102094</v>
      </c>
      <c r="P1388" s="9">
        <v>7.0</v>
      </c>
      <c r="Q1388" s="11" t="str">
        <f t="shared" si="9"/>
        <v>cobertura correcta</v>
      </c>
      <c r="R1388" s="12"/>
      <c r="S1388" s="8"/>
      <c r="T1388" s="12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</row>
    <row r="1389" ht="15.75" customHeight="1">
      <c r="A1389" s="5" t="s">
        <v>2637</v>
      </c>
      <c r="B1389" s="6" t="s">
        <v>2638</v>
      </c>
      <c r="C1389" s="6">
        <f t="shared" si="1"/>
        <v>1880</v>
      </c>
      <c r="D1389" s="6">
        <f t="shared" si="78"/>
        <v>41</v>
      </c>
      <c r="E1389" s="6">
        <f t="shared" si="77"/>
        <v>508</v>
      </c>
      <c r="F1389" s="8"/>
      <c r="G1389" s="6">
        <f t="shared" si="3"/>
        <v>7292</v>
      </c>
      <c r="H1389" s="6">
        <f t="shared" si="4"/>
        <v>10575</v>
      </c>
      <c r="I1389" s="6">
        <f t="shared" si="5"/>
        <v>26087</v>
      </c>
      <c r="J1389" s="6">
        <f t="shared" si="6"/>
        <v>30929</v>
      </c>
      <c r="K1389" s="9"/>
      <c r="L1389" s="9"/>
      <c r="M1389" s="9"/>
      <c r="N1389" s="9">
        <f t="shared" si="7"/>
        <v>16.45159574</v>
      </c>
      <c r="O1389" s="10">
        <f t="shared" si="8"/>
        <v>7.734503566</v>
      </c>
      <c r="P1389" s="9">
        <v>15.0</v>
      </c>
      <c r="Q1389" s="11" t="str">
        <f t="shared" si="9"/>
        <v>¡Compra YA!</v>
      </c>
      <c r="R1389" s="12"/>
      <c r="S1389" s="8"/>
      <c r="T1389" s="12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</row>
    <row r="1390" ht="15.75" customHeight="1">
      <c r="A1390" s="5" t="s">
        <v>2639</v>
      </c>
      <c r="B1390" s="6"/>
      <c r="C1390" s="6">
        <f t="shared" si="1"/>
        <v>6747</v>
      </c>
      <c r="D1390" s="6">
        <f t="shared" si="78"/>
        <v>6</v>
      </c>
      <c r="E1390" s="6">
        <f t="shared" si="77"/>
        <v>159</v>
      </c>
      <c r="F1390" s="8"/>
      <c r="G1390" s="6">
        <f t="shared" si="3"/>
        <v>7866</v>
      </c>
      <c r="H1390" s="6">
        <f t="shared" si="4"/>
        <v>16076</v>
      </c>
      <c r="I1390" s="6">
        <f t="shared" si="5"/>
        <v>19744</v>
      </c>
      <c r="J1390" s="6">
        <f t="shared" si="6"/>
        <v>77927</v>
      </c>
      <c r="K1390" s="9"/>
      <c r="L1390" s="9"/>
      <c r="M1390" s="9"/>
      <c r="N1390" s="9">
        <f t="shared" si="7"/>
        <v>11.54987402</v>
      </c>
      <c r="O1390" s="10">
        <f t="shared" si="8"/>
        <v>25.73226545</v>
      </c>
      <c r="P1390" s="9">
        <v>15.0</v>
      </c>
      <c r="Q1390" s="11" t="str">
        <f t="shared" si="9"/>
        <v>cobertura correcta</v>
      </c>
      <c r="R1390" s="12"/>
      <c r="S1390" s="8"/>
      <c r="T1390" s="12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</row>
    <row r="1391" ht="15.75" customHeight="1">
      <c r="A1391" s="5" t="s">
        <v>2640</v>
      </c>
      <c r="B1391" s="6" t="s">
        <v>2641</v>
      </c>
      <c r="C1391" s="6">
        <f t="shared" si="1"/>
        <v>3985</v>
      </c>
      <c r="D1391" s="6">
        <f t="shared" si="78"/>
        <v>33</v>
      </c>
      <c r="E1391" s="7">
        <v>0.0</v>
      </c>
      <c r="F1391" s="8"/>
      <c r="G1391" s="6">
        <f t="shared" si="3"/>
        <v>4440</v>
      </c>
      <c r="H1391" s="6">
        <f t="shared" si="4"/>
        <v>12637</v>
      </c>
      <c r="I1391" s="6">
        <f t="shared" si="5"/>
        <v>27747</v>
      </c>
      <c r="J1391" s="6">
        <f t="shared" si="6"/>
        <v>71566</v>
      </c>
      <c r="K1391" s="9"/>
      <c r="L1391" s="9"/>
      <c r="M1391" s="9"/>
      <c r="N1391" s="9">
        <f t="shared" si="7"/>
        <v>17.95884567</v>
      </c>
      <c r="O1391" s="10">
        <f t="shared" si="8"/>
        <v>26.92567568</v>
      </c>
      <c r="P1391" s="9">
        <v>7.0</v>
      </c>
      <c r="Q1391" s="11" t="str">
        <f t="shared" si="9"/>
        <v>cobertura correcta</v>
      </c>
      <c r="R1391" s="12"/>
      <c r="S1391" s="8"/>
      <c r="T1391" s="12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</row>
    <row r="1392" ht="15.75" customHeight="1">
      <c r="A1392" s="5" t="s">
        <v>2642</v>
      </c>
      <c r="B1392" s="6" t="s">
        <v>2643</v>
      </c>
      <c r="C1392" s="6">
        <f t="shared" si="1"/>
        <v>5434</v>
      </c>
      <c r="D1392" s="7">
        <v>0.0</v>
      </c>
      <c r="E1392" s="7">
        <v>0.0</v>
      </c>
      <c r="F1392" s="8"/>
      <c r="G1392" s="6">
        <f t="shared" si="3"/>
        <v>1247</v>
      </c>
      <c r="H1392" s="6">
        <f t="shared" si="4"/>
        <v>14601</v>
      </c>
      <c r="I1392" s="6">
        <f t="shared" si="5"/>
        <v>20390</v>
      </c>
      <c r="J1392" s="6">
        <f t="shared" si="6"/>
        <v>97251</v>
      </c>
      <c r="K1392" s="9"/>
      <c r="L1392" s="9"/>
      <c r="M1392" s="9"/>
      <c r="N1392" s="9">
        <f t="shared" si="7"/>
        <v>17.89676113</v>
      </c>
      <c r="O1392" s="10">
        <f t="shared" si="8"/>
        <v>130.7297514</v>
      </c>
      <c r="P1392" s="9">
        <v>20.0</v>
      </c>
      <c r="Q1392" s="11" t="str">
        <f t="shared" si="9"/>
        <v>cobertura correcta</v>
      </c>
      <c r="R1392" s="12"/>
      <c r="S1392" s="8"/>
      <c r="T1392" s="12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</row>
    <row r="1393" ht="15.75" customHeight="1">
      <c r="A1393" s="5" t="s">
        <v>2644</v>
      </c>
      <c r="B1393" s="6" t="s">
        <v>2645</v>
      </c>
      <c r="C1393" s="6">
        <f t="shared" si="1"/>
        <v>6816</v>
      </c>
      <c r="D1393" s="6">
        <f t="shared" ref="D1393:D1395" si="79">RANDBETWEEN(0, 50)</f>
        <v>30</v>
      </c>
      <c r="E1393" s="7">
        <v>0.0</v>
      </c>
      <c r="F1393" s="8"/>
      <c r="G1393" s="6">
        <f t="shared" si="3"/>
        <v>1329</v>
      </c>
      <c r="H1393" s="6">
        <f t="shared" si="4"/>
        <v>14295</v>
      </c>
      <c r="I1393" s="6">
        <f t="shared" si="5"/>
        <v>24721</v>
      </c>
      <c r="J1393" s="6">
        <f t="shared" si="6"/>
        <v>41860</v>
      </c>
      <c r="K1393" s="9"/>
      <c r="L1393" s="9"/>
      <c r="M1393" s="9"/>
      <c r="N1393" s="9">
        <f t="shared" si="7"/>
        <v>6.141431925</v>
      </c>
      <c r="O1393" s="10">
        <f t="shared" si="8"/>
        <v>153.8600451</v>
      </c>
      <c r="P1393" s="9">
        <v>7.0</v>
      </c>
      <c r="Q1393" s="11" t="str">
        <f t="shared" si="9"/>
        <v>cobertura correcta</v>
      </c>
      <c r="R1393" s="12"/>
      <c r="S1393" s="8"/>
      <c r="T1393" s="12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</row>
    <row r="1394" ht="15.75" customHeight="1">
      <c r="A1394" s="5" t="s">
        <v>2646</v>
      </c>
      <c r="B1394" s="6"/>
      <c r="C1394" s="6">
        <f t="shared" si="1"/>
        <v>8521</v>
      </c>
      <c r="D1394" s="6">
        <f t="shared" si="79"/>
        <v>33</v>
      </c>
      <c r="E1394" s="7">
        <v>0.0</v>
      </c>
      <c r="F1394" s="8"/>
      <c r="G1394" s="6">
        <f t="shared" si="3"/>
        <v>2263</v>
      </c>
      <c r="H1394" s="6">
        <f t="shared" si="4"/>
        <v>10064</v>
      </c>
      <c r="I1394" s="6">
        <f t="shared" si="5"/>
        <v>20549</v>
      </c>
      <c r="J1394" s="6">
        <f t="shared" si="6"/>
        <v>61384</v>
      </c>
      <c r="K1394" s="9"/>
      <c r="L1394" s="9"/>
      <c r="M1394" s="9"/>
      <c r="N1394" s="9">
        <f t="shared" si="7"/>
        <v>7.203849313</v>
      </c>
      <c r="O1394" s="10">
        <f t="shared" si="8"/>
        <v>112.9606717</v>
      </c>
      <c r="P1394" s="9">
        <v>7.0</v>
      </c>
      <c r="Q1394" s="11" t="str">
        <f t="shared" si="9"/>
        <v>cobertura correcta</v>
      </c>
      <c r="R1394" s="12"/>
      <c r="S1394" s="8"/>
      <c r="T1394" s="12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</row>
    <row r="1395" ht="15.75" customHeight="1">
      <c r="A1395" s="5" t="s">
        <v>2647</v>
      </c>
      <c r="B1395" s="6"/>
      <c r="C1395" s="6">
        <f t="shared" si="1"/>
        <v>1673</v>
      </c>
      <c r="D1395" s="6">
        <f t="shared" si="79"/>
        <v>31</v>
      </c>
      <c r="E1395" s="6">
        <f t="shared" ref="E1395:E1398" si="80">RANDBETWEEN(0, 1000)</f>
        <v>336</v>
      </c>
      <c r="F1395" s="8"/>
      <c r="G1395" s="6">
        <f t="shared" si="3"/>
        <v>7061</v>
      </c>
      <c r="H1395" s="6">
        <f t="shared" si="4"/>
        <v>18444</v>
      </c>
      <c r="I1395" s="6">
        <f t="shared" si="5"/>
        <v>27988</v>
      </c>
      <c r="J1395" s="6">
        <f t="shared" si="6"/>
        <v>68305</v>
      </c>
      <c r="K1395" s="9"/>
      <c r="L1395" s="9"/>
      <c r="M1395" s="9"/>
      <c r="N1395" s="9">
        <f t="shared" si="7"/>
        <v>40.82785415</v>
      </c>
      <c r="O1395" s="10">
        <f t="shared" si="8"/>
        <v>7.108058349</v>
      </c>
      <c r="P1395" s="9">
        <v>7.0</v>
      </c>
      <c r="Q1395" s="11" t="str">
        <f t="shared" si="9"/>
        <v>cobertura correcta</v>
      </c>
      <c r="R1395" s="12"/>
      <c r="S1395" s="8"/>
      <c r="T1395" s="12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</row>
    <row r="1396" ht="15.75" customHeight="1">
      <c r="A1396" s="5" t="s">
        <v>2648</v>
      </c>
      <c r="B1396" s="6"/>
      <c r="C1396" s="6">
        <f t="shared" si="1"/>
        <v>1869</v>
      </c>
      <c r="D1396" s="7">
        <v>0.0</v>
      </c>
      <c r="E1396" s="6">
        <f t="shared" si="80"/>
        <v>4</v>
      </c>
      <c r="F1396" s="8"/>
      <c r="G1396" s="6">
        <f t="shared" si="3"/>
        <v>1908</v>
      </c>
      <c r="H1396" s="6">
        <f t="shared" si="4"/>
        <v>13149</v>
      </c>
      <c r="I1396" s="6">
        <f t="shared" si="5"/>
        <v>21915</v>
      </c>
      <c r="J1396" s="6">
        <f t="shared" si="6"/>
        <v>40616</v>
      </c>
      <c r="K1396" s="9"/>
      <c r="L1396" s="9"/>
      <c r="M1396" s="9"/>
      <c r="N1396" s="9">
        <f t="shared" si="7"/>
        <v>21.73140717</v>
      </c>
      <c r="O1396" s="10">
        <f t="shared" si="8"/>
        <v>29.38679245</v>
      </c>
      <c r="P1396" s="9">
        <v>20.0</v>
      </c>
      <c r="Q1396" s="11" t="str">
        <f t="shared" si="9"/>
        <v>cobertura correcta</v>
      </c>
      <c r="R1396" s="12"/>
      <c r="S1396" s="8"/>
      <c r="T1396" s="12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</row>
    <row r="1397" ht="15.75" customHeight="1">
      <c r="A1397" s="5" t="s">
        <v>2649</v>
      </c>
      <c r="B1397" s="6" t="s">
        <v>2650</v>
      </c>
      <c r="C1397" s="6">
        <f t="shared" si="1"/>
        <v>1191</v>
      </c>
      <c r="D1397" s="6">
        <f t="shared" ref="D1397:D1398" si="81">RANDBETWEEN(0, 50)</f>
        <v>29</v>
      </c>
      <c r="E1397" s="6">
        <f t="shared" si="80"/>
        <v>777</v>
      </c>
      <c r="F1397" s="8"/>
      <c r="G1397" s="6">
        <f t="shared" si="3"/>
        <v>6283</v>
      </c>
      <c r="H1397" s="6">
        <f t="shared" si="4"/>
        <v>11932</v>
      </c>
      <c r="I1397" s="6">
        <f t="shared" si="5"/>
        <v>21390</v>
      </c>
      <c r="J1397" s="6">
        <f t="shared" si="6"/>
        <v>92424</v>
      </c>
      <c r="K1397" s="9"/>
      <c r="L1397" s="9"/>
      <c r="M1397" s="9"/>
      <c r="N1397" s="9">
        <f t="shared" si="7"/>
        <v>77.60201511</v>
      </c>
      <c r="O1397" s="10">
        <f t="shared" si="8"/>
        <v>5.686773834</v>
      </c>
      <c r="P1397" s="9">
        <v>7.0</v>
      </c>
      <c r="Q1397" s="11" t="str">
        <f t="shared" si="9"/>
        <v>¡Compra YA!</v>
      </c>
      <c r="R1397" s="12"/>
      <c r="S1397" s="8"/>
      <c r="T1397" s="12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</row>
    <row r="1398" ht="15.75" customHeight="1">
      <c r="A1398" s="5" t="s">
        <v>2651</v>
      </c>
      <c r="B1398" s="6" t="s">
        <v>2652</v>
      </c>
      <c r="C1398" s="6">
        <f t="shared" si="1"/>
        <v>3177</v>
      </c>
      <c r="D1398" s="6">
        <f t="shared" si="81"/>
        <v>32</v>
      </c>
      <c r="E1398" s="6">
        <f t="shared" si="80"/>
        <v>731</v>
      </c>
      <c r="F1398" s="8"/>
      <c r="G1398" s="6">
        <f t="shared" si="3"/>
        <v>4308</v>
      </c>
      <c r="H1398" s="6">
        <f t="shared" si="4"/>
        <v>11393</v>
      </c>
      <c r="I1398" s="6">
        <f t="shared" si="5"/>
        <v>26515</v>
      </c>
      <c r="J1398" s="6">
        <f t="shared" si="6"/>
        <v>94091</v>
      </c>
      <c r="K1398" s="9"/>
      <c r="L1398" s="9"/>
      <c r="M1398" s="9"/>
      <c r="N1398" s="9">
        <f t="shared" si="7"/>
        <v>29.61630469</v>
      </c>
      <c r="O1398" s="10">
        <f t="shared" si="8"/>
        <v>22.12395543</v>
      </c>
      <c r="P1398" s="9">
        <v>10.0</v>
      </c>
      <c r="Q1398" s="11" t="str">
        <f t="shared" si="9"/>
        <v>cobertura correcta</v>
      </c>
      <c r="R1398" s="12"/>
      <c r="S1398" s="8"/>
      <c r="T1398" s="12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</row>
  </sheetData>
  <autoFilter ref="$A$1:$AD$1398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2026-09-09T16:10:42Z</dcterms:created>
  <dc:creator>openpyxl</dc:creator>
</cp:coreProperties>
</file>